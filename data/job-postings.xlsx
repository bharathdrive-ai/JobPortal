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Job Postings" sheetId="2" state="visible" r:id="rId2"/>
    <sheet name="Assessment Weights" sheetId="3" state="visible" r:id="rId3"/>
    <sheet name="Assessment Profiles" sheetId="4" state="visible" r:id="rId4"/>
    <sheet name="Lookups" sheetId="5" state="visible" r:id="rId5"/>
  </sheets>
  <definedNames>
    <definedName name="_xlnm._FilterDatabase" localSheetId="1" hidden="1">'Job Postings'!$A$1:$AH$10</definedName>
    <definedName name="_xlnm._FilterDatabase" localSheetId="2" hidden="1">'Assessment Weights'!$A$1:$D$42</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color rgb="001D43A5"/>
      <sz val="16"/>
    </font>
    <font>
      <name val="Arial"/>
      <b val="1"/>
      <color rgb="001D43A5"/>
      <sz val="11"/>
    </font>
    <font>
      <name val="Arial"/>
      <sz val="10"/>
    </font>
    <font>
      <name val="Arial"/>
      <b val="1"/>
      <sz val="10"/>
    </font>
    <font>
      <name val="Arial"/>
      <b val="1"/>
      <color rgb="00FFFFFF"/>
      <sz val="10"/>
    </font>
    <font>
      <name val="Arial"/>
      <color rgb="00000000"/>
      <sz val="10"/>
    </font>
  </fonts>
  <fills count="5">
    <fill>
      <patternFill/>
    </fill>
    <fill>
      <patternFill patternType="gray125"/>
    </fill>
    <fill>
      <patternFill patternType="solid">
        <fgColor rgb="00FFFFFF"/>
      </patternFill>
    </fill>
    <fill>
      <patternFill patternType="solid">
        <fgColor rgb="00EEF2F7"/>
      </patternFill>
    </fill>
    <fill>
      <patternFill patternType="solid">
        <fgColor rgb="001D43A5"/>
      </patternFill>
    </fill>
  </fills>
  <borders count="2">
    <border>
      <left/>
      <right/>
      <top/>
      <bottom/>
      <diagonal/>
    </border>
    <border>
      <left style="thin">
        <color rgb="00D5DBE5"/>
      </left>
      <right style="thin">
        <color rgb="00D5DBE5"/>
      </right>
      <top style="thin">
        <color rgb="00D5DBE5"/>
      </top>
      <bottom style="thin">
        <color rgb="00D5DBE5"/>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2" borderId="1" pivotButton="0" quotePrefix="0" xfId="0"/>
    <xf numFmtId="0" fontId="3" fillId="0" borderId="0" pivotButton="0" quotePrefix="0" xfId="0"/>
    <xf numFmtId="0" fontId="3" fillId="3" borderId="1" pivotButton="0" quotePrefix="0" xfId="0"/>
    <xf numFmtId="0" fontId="5" fillId="4" borderId="1"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164" fontId="3" fillId="0" borderId="1" applyAlignment="1" pivotButton="0" quotePrefix="0" xfId="0">
      <alignment vertical="top"/>
    </xf>
    <xf numFmtId="0" fontId="6" fillId="3" borderId="1" applyAlignment="1" pivotButton="0" quotePrefix="0" xfId="0">
      <alignment vertical="top"/>
    </xf>
    <xf numFmtId="164" fontId="0" fillId="0" borderId="0" pivotButton="0" quotePrefix="0" xfId="0"/>
    <xf numFmtId="0" fontId="5" fillId="4" borderId="1" pivotButton="0" quotePrefix="0" xfId="0"/>
    <xf numFmtId="0" fontId="3" fillId="0" borderId="1" pivotButton="0" quotePrefix="0" xfId="0"/>
  </cellXfs>
  <cellStyles count="1">
    <cellStyle name="Normal" xfId="0" builtinId="0" hidden="0"/>
  </cellStyles>
  <dxfs count="6">
    <dxf>
      <font>
        <name val="Arial"/>
        <b val="1"/>
        <color rgb="00B91C1C"/>
      </font>
      <fill>
        <patternFill patternType="solid">
          <fgColor rgb="00FDE2E2"/>
        </patternFill>
      </fill>
    </dxf>
    <dxf>
      <font>
        <name val="Arial"/>
        <color rgb="0015803D"/>
      </font>
      <fill>
        <patternFill patternType="solid">
          <fgColor rgb="00DCFCE7"/>
        </patternFill>
      </fill>
    </dxf>
    <dxf>
      <fill>
        <patternFill patternType="solid">
          <fgColor rgb="00DCFCE7"/>
        </patternFill>
      </fill>
    </dxf>
    <dxf>
      <fill>
        <patternFill patternType="solid">
          <fgColor rgb="00FEF3C7"/>
        </patternFill>
      </fill>
    </dxf>
    <dxf>
      <fill>
        <patternFill patternType="solid">
          <fgColor rgb="00CFFAFE"/>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TalentHub</author>
  </authors>
  <commentList>
    <comment ref="AG1" authorId="0" shapeId="0">
      <text>
        <t>Sum of this job's rows on the Assessment Weights tab. 0 means no rows: the profile's default weights are used.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C31"/>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2">
      <c r="B2" s="1" t="inlineStr">
        <is>
          <t>TalentHub – Internal Job Postings (source data)</t>
        </is>
      </c>
    </row>
    <row r="5">
      <c r="B5" s="2" t="inlineStr">
        <is>
          <t>What this workbook is</t>
        </is>
      </c>
    </row>
    <row r="6" ht="45" customHeight="1">
      <c r="B6" s="3" t="inlineStr">
        <is>
          <t>This workbook is the single source for the Internal Job Postings shown in the TalentHub portal. Each row on the Job Postings tab is one posting. When the workbook is committed to the GitHub repository, the Vercel build converts it to data/job-postings.json, and the portal loads the postings from there.</t>
        </is>
      </c>
    </row>
    <row r="8">
      <c r="B8" s="2" t="inlineStr">
        <is>
          <t>How to update postings</t>
        </is>
      </c>
    </row>
    <row r="9" ht="15" customHeight="1">
      <c r="B9" s="4" t="inlineStr">
        <is>
          <t>Step 1</t>
        </is>
      </c>
      <c r="C9" s="3" t="inlineStr">
        <is>
          <t>Edit or add rows on the Job Postings tab. Use the dropdowns where a cell offers one.</t>
        </is>
      </c>
    </row>
    <row r="10" ht="45" customHeight="1">
      <c r="B10" s="4" t="inlineStr">
        <is>
          <t>Step 2</t>
        </is>
      </c>
      <c r="C10" s="3" t="inlineStr">
        <is>
          <t>For each Job ID, list its scoring criteria on the Assessment Weights tab. Weights for one job must total 100. If a job has no rows there, the default weights for its Assessment Profile are used.</t>
        </is>
      </c>
    </row>
    <row r="11" ht="30" customHeight="1">
      <c r="B11" s="4" t="inlineStr">
        <is>
          <t>Step 3</t>
        </is>
      </c>
      <c r="C11" s="3" t="inlineStr">
        <is>
          <t>Check the two grey columns at the right of Job Postings: Weights Total must be 100 and Row Check must say OK.</t>
        </is>
      </c>
    </row>
    <row r="12" ht="45" customHeight="1">
      <c r="B12" s="4" t="inlineStr">
        <is>
          <t>Step 4</t>
        </is>
      </c>
      <c r="C12" s="3" t="inlineStr">
        <is>
          <t>Save, then commit and push the file (data/job-postings.xlsx). Vercel rebuilds the site in about a minute. If the build finds an error, it stops and the live site keeps the previous postings.</t>
        </is>
      </c>
    </row>
    <row r="14">
      <c r="B14" s="2" t="inlineStr">
        <is>
          <t>Cell legend</t>
        </is>
      </c>
    </row>
    <row r="15">
      <c r="B15" s="5" t="inlineStr">
        <is>
          <t>White cells</t>
        </is>
      </c>
      <c r="C15" s="6" t="inlineStr">
        <is>
          <t>Inputs you edit (the sample rows are real examples of the expected format).</t>
        </is>
      </c>
    </row>
    <row r="16">
      <c r="B16" s="7" t="inlineStr">
        <is>
          <t>Grey cells</t>
        </is>
      </c>
      <c r="C16" s="6" t="inlineStr">
        <is>
          <t>Formulas. Don't type in them.</t>
        </is>
      </c>
    </row>
    <row r="18">
      <c r="B18" s="2" t="inlineStr">
        <is>
          <t>Formats</t>
        </is>
      </c>
    </row>
    <row r="19" ht="30" customHeight="1">
      <c r="B19" s="4" t="inlineStr">
        <is>
          <t>Job ID</t>
        </is>
      </c>
      <c r="C19" s="3" t="inlineStr">
        <is>
          <t>Unique, e.g. JOB-2026-1009. Never reuse or change an ID once applications exist, because applications refer to it.</t>
        </is>
      </c>
    </row>
    <row r="20" ht="15" customHeight="1">
      <c r="B20" s="4" t="inlineStr">
        <is>
          <t>Skills, departments, grades</t>
        </is>
      </c>
      <c r="C20" s="3" t="inlineStr">
        <is>
          <t>Comma-separated lists, e.g. JavaScript, React, SQL</t>
        </is>
      </c>
    </row>
    <row r="21" ht="15" customHeight="1">
      <c r="B21" s="4" t="inlineStr">
        <is>
          <t>Key Responsibilities</t>
        </is>
      </c>
      <c r="C21" s="3" t="inlineStr">
        <is>
          <t>One responsibility per line (Alt+Enter starts a new line inside the cell).</t>
        </is>
      </c>
    </row>
    <row r="22" ht="15" customHeight="1">
      <c r="B22" s="4" t="inlineStr">
        <is>
          <t>Dates</t>
        </is>
      </c>
      <c r="C22" s="3" t="inlineStr">
        <is>
          <t>Real Excel dates. Closing date must be after the opening date (at least 7 days).</t>
        </is>
      </c>
    </row>
    <row r="23" ht="15" customHeight="1">
      <c r="B23" s="4" t="inlineStr">
        <is>
          <t>Experience / tenure</t>
        </is>
      </c>
      <c r="C23" s="3" t="inlineStr">
        <is>
          <t>Numbers only: years for experience, months for tenure.</t>
        </is>
      </c>
    </row>
    <row r="24" ht="15" customHeight="1">
      <c r="B24" s="4" t="inlineStr">
        <is>
          <t>Featured</t>
        </is>
      </c>
      <c r="C24" s="3" t="inlineStr">
        <is>
          <t>Yes shows the job on the dashboard's Featured jobs list.</t>
        </is>
      </c>
    </row>
    <row r="25" ht="30" customHeight="1">
      <c r="B25" s="4" t="inlineStr">
        <is>
          <t>Status</t>
        </is>
      </c>
      <c r="C25" s="3" t="inlineStr">
        <is>
          <t>Draft, Pending Approval, Published, Closed or Cancelled. Employees only see Published jobs.</t>
        </is>
      </c>
    </row>
    <row r="27">
      <c r="B27" s="2" t="inlineStr">
        <is>
          <t>Responsible assessment</t>
        </is>
      </c>
    </row>
    <row r="28" ht="30" customHeight="1">
      <c r="B28" s="3" t="inlineStr">
        <is>
          <t>Assessment criteria must be job-related only. Never add criteria based on age, gender, religion, ethnicity, nationality, marital status, disability or other personal characteristics. The build rejects criterion names that do.</t>
        </is>
      </c>
    </row>
    <row r="30">
      <c r="B30" s="2" t="inlineStr">
        <is>
          <t>Changes made inside the portal</t>
        </is>
      </c>
    </row>
    <row r="31" ht="30" customHeight="1">
      <c r="B31" s="3" t="inlineStr">
        <is>
          <t>Postings created or edited in the portal are saved only in that browser. To make them permanent, copy them into this workbook.</t>
        </is>
      </c>
    </row>
  </sheetData>
  <mergeCells count="3">
    <mergeCell ref="B6:C6"/>
    <mergeCell ref="B31:C31"/>
    <mergeCell ref="B28:C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32" customWidth="1" min="2" max="2"/>
    <col width="20" customWidth="1" min="3" max="3"/>
    <col width="24" customWidth="1" min="4" max="4"/>
    <col width="10" customWidth="1" min="5" max="5"/>
    <col width="17" customWidth="1" min="6" max="6"/>
    <col width="15" customWidth="1" min="7" max="7"/>
    <col width="10" customWidth="1" min="8" max="8"/>
    <col width="20" customWidth="1" min="9" max="9"/>
    <col width="45" customWidth="1" min="10" max="10"/>
    <col width="50" customWidth="1" min="11" max="11"/>
    <col width="36" customWidth="1" min="12" max="12"/>
    <col width="34" customWidth="1" min="13" max="13"/>
    <col width="28" customWidth="1" min="14" max="14"/>
    <col width="12" customWidth="1" min="15" max="15"/>
    <col width="13" customWidth="1" min="16" max="16"/>
    <col width="30" customWidth="1" min="17" max="17"/>
    <col width="14" customWidth="1" min="18" max="18"/>
    <col width="11" customWidth="1" min="19" max="19"/>
    <col width="40" customWidth="1" min="20" max="20"/>
    <col width="16" customWidth="1" min="21" max="21"/>
    <col width="11" customWidth="1" min="22" max="22"/>
    <col width="26" customWidth="1" min="23" max="23"/>
    <col width="26" customWidth="1" min="24" max="24"/>
    <col width="12" customWidth="1" min="25" max="25"/>
    <col width="12" customWidth="1" min="26" max="26"/>
    <col width="12" customWidth="1" min="27" max="27"/>
    <col width="12" customWidth="1" min="28" max="28"/>
    <col width="10" customWidth="1" min="29" max="29"/>
    <col width="9" customWidth="1" min="30" max="30"/>
    <col width="16" customWidth="1" min="31" max="31"/>
    <col width="12" customWidth="1" min="32" max="32"/>
    <col width="11" customWidth="1" min="33" max="33"/>
    <col width="34" customWidth="1" min="34" max="34"/>
  </cols>
  <sheetData>
    <row r="1" ht="32" customHeight="1">
      <c r="A1" s="8" t="inlineStr">
        <is>
          <t>Job ID</t>
        </is>
      </c>
      <c r="B1" s="8" t="inlineStr">
        <is>
          <t>Job Title</t>
        </is>
      </c>
      <c r="C1" s="8" t="inlineStr">
        <is>
          <t>Department</t>
        </is>
      </c>
      <c r="D1" s="8" t="inlineStr">
        <is>
          <t>Job Family</t>
        </is>
      </c>
      <c r="E1" s="8" t="inlineStr">
        <is>
          <t>Job Grade</t>
        </is>
      </c>
      <c r="F1" s="8" t="inlineStr">
        <is>
          <t>Hiring Manager</t>
        </is>
      </c>
      <c r="G1" s="8" t="inlineStr">
        <is>
          <t>Recruiter</t>
        </is>
      </c>
      <c r="H1" s="8" t="inlineStr">
        <is>
          <t>Openings</t>
        </is>
      </c>
      <c r="I1" s="8" t="inlineStr">
        <is>
          <t>Job Type</t>
        </is>
      </c>
      <c r="J1" s="8" t="inlineStr">
        <is>
          <t>Job Summary</t>
        </is>
      </c>
      <c r="K1" s="8" t="inlineStr">
        <is>
          <t>Key Responsibilities</t>
        </is>
      </c>
      <c r="L1" s="8" t="inlineStr">
        <is>
          <t>Required Qualifications</t>
        </is>
      </c>
      <c r="M1" s="8" t="inlineStr">
        <is>
          <t>Required Skills</t>
        </is>
      </c>
      <c r="N1" s="8" t="inlineStr">
        <is>
          <t>Preferred Skills</t>
        </is>
      </c>
      <c r="O1" s="8" t="inlineStr">
        <is>
          <t>Min Experience (yrs)</t>
        </is>
      </c>
      <c r="P1" s="8" t="inlineStr">
        <is>
          <t>Preferred Experience (yrs)</t>
        </is>
      </c>
      <c r="Q1" s="8" t="inlineStr">
        <is>
          <t>Certifications</t>
        </is>
      </c>
      <c r="R1" s="8" t="inlineStr">
        <is>
          <t>Work Location</t>
        </is>
      </c>
      <c r="S1" s="8" t="inlineStr">
        <is>
          <t>Work Mode</t>
        </is>
      </c>
      <c r="T1" s="8" t="inlineStr">
        <is>
          <t>Eligible Departments</t>
        </is>
      </c>
      <c r="U1" s="8" t="inlineStr">
        <is>
          <t>Eligible Grades</t>
        </is>
      </c>
      <c r="V1" s="8" t="inlineStr">
        <is>
          <t>Min Tenure (months)</t>
        </is>
      </c>
      <c r="W1" s="8" t="inlineStr">
        <is>
          <t>Performance Eligibility</t>
        </is>
      </c>
      <c r="X1" s="8" t="inlineStr">
        <is>
          <t>Manager Approval</t>
        </is>
      </c>
      <c r="Y1" s="8" t="inlineStr">
        <is>
          <t>Opening Date</t>
        </is>
      </c>
      <c r="Z1" s="8" t="inlineStr">
        <is>
          <t>Closing Date</t>
        </is>
      </c>
      <c r="AA1" s="8" t="inlineStr">
        <is>
          <t>Resume Requirement</t>
        </is>
      </c>
      <c r="AB1" s="8" t="inlineStr">
        <is>
          <t>Assessment Profile</t>
        </is>
      </c>
      <c r="AC1" s="8" t="inlineStr">
        <is>
          <t>Review Threshold</t>
        </is>
      </c>
      <c r="AD1" s="8" t="inlineStr">
        <is>
          <t>Featured</t>
        </is>
      </c>
      <c r="AE1" s="8" t="inlineStr">
        <is>
          <t>Status</t>
        </is>
      </c>
      <c r="AF1" s="8" t="inlineStr">
        <is>
          <t>Created On</t>
        </is>
      </c>
      <c r="AG1" s="8" t="inlineStr">
        <is>
          <t>Weights Total (%)</t>
        </is>
      </c>
      <c r="AH1" s="8" t="inlineStr">
        <is>
          <t>Row Check</t>
        </is>
      </c>
    </row>
    <row r="2">
      <c r="A2" s="9" t="inlineStr">
        <is>
          <t>JOB-2026-1001</t>
        </is>
      </c>
      <c r="B2" s="9" t="inlineStr">
        <is>
          <t>Senior Full Stack Engineer</t>
        </is>
      </c>
      <c r="C2" s="9" t="inlineStr">
        <is>
          <t>Engineering</t>
        </is>
      </c>
      <c r="D2" s="9" t="inlineStr">
        <is>
          <t>Software Engineering</t>
        </is>
      </c>
      <c r="E2" s="9" t="inlineStr">
        <is>
          <t>G7</t>
        </is>
      </c>
      <c r="F2" s="9" t="inlineStr">
        <is>
          <t>Arjun Mehta</t>
        </is>
      </c>
      <c r="G2" s="9" t="inlineStr">
        <is>
          <t>Priya Raman</t>
        </is>
      </c>
      <c r="H2" s="9" t="n">
        <v>2</v>
      </c>
      <c r="I2" s="9" t="inlineStr">
        <is>
          <t>Full-time Permanent</t>
        </is>
      </c>
      <c r="J2" s="10" t="inlineStr">
        <is>
          <t>Build and scale customer-facing payment and onboarding experiences used by 4M+ users.</t>
        </is>
      </c>
      <c r="K2" s="10" t="inlineStr">
        <is>
          <t>Design and deliver features across React front end and Node.js services.
Own API design and data modelling for onboarding flows.
Mentor two to three engineers and lead code reviews.
Partner with Product and QA on release planning.</t>
        </is>
      </c>
      <c r="L2" s="10" t="inlineStr">
        <is>
          <t>Bachelor's degree in Computer Science or equivalent practical experience.</t>
        </is>
      </c>
      <c r="M2" s="10" t="inlineStr">
        <is>
          <t>JavaScript, React, Node.js, REST APIs, SQL</t>
        </is>
      </c>
      <c r="N2" s="10" t="inlineStr">
        <is>
          <t>TypeScript, AWS, Docker, CI/CD</t>
        </is>
      </c>
      <c r="O2" s="9" t="n">
        <v>5</v>
      </c>
      <c r="P2" s="9" t="n">
        <v>7</v>
      </c>
      <c r="Q2" s="9" t="inlineStr">
        <is>
          <t>AWS Certified Developer – Associate (preferred)</t>
        </is>
      </c>
      <c r="R2" s="9" t="inlineStr">
        <is>
          <t>Bengaluru</t>
        </is>
      </c>
      <c r="S2" s="9" t="inlineStr">
        <is>
          <t>Hybrid</t>
        </is>
      </c>
      <c r="T2" s="10" t="inlineStr">
        <is>
          <t>Engineering, IT Infrastructure, Product Management, Data &amp; Analytics, Customer Success</t>
        </is>
      </c>
      <c r="U2" s="10" t="inlineStr">
        <is>
          <t>G5, G6, G7</t>
        </is>
      </c>
      <c r="V2" s="9" t="n">
        <v>12</v>
      </c>
      <c r="W2" s="9" t="inlineStr">
        <is>
          <t>Meets Expectations or above</t>
        </is>
      </c>
      <c r="X2" s="9" t="inlineStr">
        <is>
          <t>Required before shortlisting</t>
        </is>
      </c>
      <c r="Y2" s="11" t="n">
        <v>46296</v>
      </c>
      <c r="Z2" s="11" t="n">
        <v>46326</v>
      </c>
      <c r="AA2" s="9" t="inlineStr">
        <is>
          <t>Mandatory</t>
        </is>
      </c>
      <c r="AB2" s="9" t="inlineStr">
        <is>
          <t>AP-TECH</t>
        </is>
      </c>
      <c r="AC2" s="9" t="n">
        <v>60</v>
      </c>
      <c r="AD2" s="9" t="inlineStr">
        <is>
          <t>Yes</t>
        </is>
      </c>
      <c r="AE2" s="9" t="inlineStr">
        <is>
          <t>Published</t>
        </is>
      </c>
      <c r="AF2" s="11" t="n">
        <v>46291</v>
      </c>
      <c r="AG2" s="12">
        <f>IF(A2="","",SUMIFS('Assessment Weights'!$D:$D,'Assessment Weights'!$A:$A,A2))</f>
        <v/>
      </c>
      <c r="AH2" s="12">
        <f>IF(A2="","",IF(COUNTIF($A$2:$A$1000,A2)&gt;1,"Duplicate Job ID",IF(AND(AG2&lt;&gt;100,AG2&lt;&gt;0),"Weights must total 100",IF(Z2-Y2&lt;7,"Closing date must be 7+ days after opening","OK"))))</f>
        <v/>
      </c>
    </row>
    <row r="3">
      <c r="A3" s="9" t="inlineStr">
        <is>
          <t>JOB-2026-1002</t>
        </is>
      </c>
      <c r="B3" s="9" t="inlineStr">
        <is>
          <t>Data Scientist – Customer Analytics</t>
        </is>
      </c>
      <c r="C3" s="9" t="inlineStr">
        <is>
          <t>Data &amp; Analytics</t>
        </is>
      </c>
      <c r="D3" s="9" t="inlineStr">
        <is>
          <t>Data Science &amp; Analytics</t>
        </is>
      </c>
      <c r="E3" s="9" t="inlineStr">
        <is>
          <t>G6</t>
        </is>
      </c>
      <c r="F3" s="9" t="inlineStr">
        <is>
          <t>Kavita Iyer</t>
        </is>
      </c>
      <c r="G3" s="9" t="inlineStr">
        <is>
          <t>Priya Raman</t>
        </is>
      </c>
      <c r="H3" s="9" t="n">
        <v>1</v>
      </c>
      <c r="I3" s="9" t="inlineStr">
        <is>
          <t>Full-time Permanent</t>
        </is>
      </c>
      <c r="J3" s="10" t="inlineStr">
        <is>
          <t>Develop churn and propensity models that guide retention campaigns across retail banking products.</t>
        </is>
      </c>
      <c r="K3" s="10" t="inlineStr">
        <is>
          <t>Build, validate and monitor predictive models.
Design and analyse A/B experiments with Marketing.
Present insights to business stakeholders.</t>
        </is>
      </c>
      <c r="L3" s="10" t="inlineStr">
        <is>
          <t>Bachelor's or Master's in Statistics, Mathematics, Computer Science or related field.</t>
        </is>
      </c>
      <c r="M3" s="10" t="inlineStr">
        <is>
          <t>Python, SQL, Machine Learning, Statistics</t>
        </is>
      </c>
      <c r="N3" s="10" t="inlineStr">
        <is>
          <t>PySpark, Tableau, A/B Testing</t>
        </is>
      </c>
      <c r="O3" s="9" t="n">
        <v>3</v>
      </c>
      <c r="P3" s="9" t="n">
        <v>5</v>
      </c>
      <c r="Q3" s="9" t="inlineStr">
        <is>
          <t>None required</t>
        </is>
      </c>
      <c r="R3" s="9" t="inlineStr">
        <is>
          <t>Hyderabad</t>
        </is>
      </c>
      <c r="S3" s="9" t="inlineStr">
        <is>
          <t>Hybrid</t>
        </is>
      </c>
      <c r="T3" s="10" t="inlineStr">
        <is>
          <t>Data &amp; Analytics, Finance, Engineering, Marketing</t>
        </is>
      </c>
      <c r="U3" s="10" t="inlineStr">
        <is>
          <t>G4, G5, G6</t>
        </is>
      </c>
      <c r="V3" s="9" t="n">
        <v>12</v>
      </c>
      <c r="W3" s="9" t="inlineStr">
        <is>
          <t>Meets Expectations or above</t>
        </is>
      </c>
      <c r="X3" s="9" t="inlineStr">
        <is>
          <t>Required before shortlisting</t>
        </is>
      </c>
      <c r="Y3" s="11" t="n">
        <v>46300</v>
      </c>
      <c r="Z3" s="11" t="n">
        <v>46331</v>
      </c>
      <c r="AA3" s="9" t="inlineStr">
        <is>
          <t>Mandatory</t>
        </is>
      </c>
      <c r="AB3" s="9" t="inlineStr">
        <is>
          <t>AP-TECH</t>
        </is>
      </c>
      <c r="AC3" s="9" t="n">
        <v>60</v>
      </c>
      <c r="AD3" s="9" t="inlineStr">
        <is>
          <t>Yes</t>
        </is>
      </c>
      <c r="AE3" s="9" t="inlineStr">
        <is>
          <t>Published</t>
        </is>
      </c>
      <c r="AF3" s="11" t="n">
        <v>46296</v>
      </c>
      <c r="AG3" s="12">
        <f>IF(A3="","",SUMIFS('Assessment Weights'!$D:$D,'Assessment Weights'!$A:$A,A3))</f>
        <v/>
      </c>
      <c r="AH3" s="12">
        <f>IF(A3="","",IF(COUNTIF($A$2:$A$1000,A3)&gt;1,"Duplicate Job ID",IF(AND(AG3&lt;&gt;100,AG3&lt;&gt;0),"Weights must total 100",IF(Z3-Y3&lt;7,"Closing date must be 7+ days after opening","OK"))))</f>
        <v/>
      </c>
    </row>
    <row r="4">
      <c r="A4" s="9" t="inlineStr">
        <is>
          <t>JOB-2026-1003</t>
        </is>
      </c>
      <c r="B4" s="9" t="inlineStr">
        <is>
          <t>Engineering Manager – Platform Services</t>
        </is>
      </c>
      <c r="C4" s="9" t="inlineStr">
        <is>
          <t>Engineering</t>
        </is>
      </c>
      <c r="D4" s="9" t="inlineStr">
        <is>
          <t>Software Engineering</t>
        </is>
      </c>
      <c r="E4" s="9" t="inlineStr">
        <is>
          <t>G8</t>
        </is>
      </c>
      <c r="F4" s="9" t="inlineStr">
        <is>
          <t>Rahul Desai</t>
        </is>
      </c>
      <c r="G4" s="9" t="inlineStr">
        <is>
          <t>Neha Joshi</t>
        </is>
      </c>
      <c r="H4" s="9" t="n">
        <v>1</v>
      </c>
      <c r="I4" s="9" t="inlineStr">
        <is>
          <t>Full-time Permanent</t>
        </is>
      </c>
      <c r="J4" s="10" t="inlineStr">
        <is>
          <t>Lead a team of 9 engineers responsible for shared platform services, observability and developer tooling.</t>
        </is>
      </c>
      <c r="K4" s="10" t="inlineStr">
        <is>
          <t>Hire, coach and grow engineers.
Own platform roadmap and delivery commitments.
Drive reliability targets (SLOs) and incident reviews.
Manage cross-team dependencies.</t>
        </is>
      </c>
      <c r="L4" s="10" t="inlineStr">
        <is>
          <t>Bachelor's degree in Engineering or equivalent; 2+ years managing engineers.</t>
        </is>
      </c>
      <c r="M4" s="10" t="inlineStr">
        <is>
          <t>People Management, Agile Delivery, Microservices, Stakeholder Management</t>
        </is>
      </c>
      <c r="N4" s="10" t="inlineStr">
        <is>
          <t>Kubernetes, SRE Practices</t>
        </is>
      </c>
      <c r="O4" s="9" t="n">
        <v>8</v>
      </c>
      <c r="P4" s="9" t="n">
        <v>10</v>
      </c>
      <c r="Q4" s="9" t="inlineStr">
        <is>
          <t>None required</t>
        </is>
      </c>
      <c r="R4" s="9" t="inlineStr">
        <is>
          <t>Pune</t>
        </is>
      </c>
      <c r="S4" s="9" t="inlineStr">
        <is>
          <t>On-site</t>
        </is>
      </c>
      <c r="T4" s="10" t="inlineStr">
        <is>
          <t>Engineering, IT Infrastructure</t>
        </is>
      </c>
      <c r="U4" s="10" t="inlineStr">
        <is>
          <t>G7, G8</t>
        </is>
      </c>
      <c r="V4" s="9" t="n">
        <v>24</v>
      </c>
      <c r="W4" s="9" t="inlineStr">
        <is>
          <t>Exceeds Expectations or above</t>
        </is>
      </c>
      <c r="X4" s="9" t="inlineStr">
        <is>
          <t>Required before shortlisting</t>
        </is>
      </c>
      <c r="Y4" s="11" t="n">
        <v>46298</v>
      </c>
      <c r="Z4" s="11" t="n">
        <v>46323</v>
      </c>
      <c r="AA4" s="9" t="inlineStr">
        <is>
          <t>Mandatory</t>
        </is>
      </c>
      <c r="AB4" s="9" t="inlineStr">
        <is>
          <t>AP-MGMT</t>
        </is>
      </c>
      <c r="AC4" s="9" t="n">
        <v>65</v>
      </c>
      <c r="AD4" s="9" t="inlineStr">
        <is>
          <t>Yes</t>
        </is>
      </c>
      <c r="AE4" s="9" t="inlineStr">
        <is>
          <t>Published</t>
        </is>
      </c>
      <c r="AF4" s="11" t="n">
        <v>46294</v>
      </c>
      <c r="AG4" s="12">
        <f>IF(A4="","",SUMIFS('Assessment Weights'!$D:$D,'Assessment Weights'!$A:$A,A4))</f>
        <v/>
      </c>
      <c r="AH4" s="12">
        <f>IF(A4="","",IF(COUNTIF($A$2:$A$1000,A4)&gt;1,"Duplicate Job ID",IF(AND(AG4&lt;&gt;100,AG4&lt;&gt;0),"Weights must total 100",IF(Z4-Y4&lt;7,"Closing date must be 7+ days after opening","OK"))))</f>
        <v/>
      </c>
    </row>
    <row r="5">
      <c r="A5" s="9" t="inlineStr">
        <is>
          <t>JOB-2026-1004</t>
        </is>
      </c>
      <c r="B5" s="9" t="inlineStr">
        <is>
          <t>Cloud Infrastructure Specialist</t>
        </is>
      </c>
      <c r="C5" s="9" t="inlineStr">
        <is>
          <t>IT Infrastructure</t>
        </is>
      </c>
      <c r="D5" s="9" t="inlineStr">
        <is>
          <t>Infrastructure &amp; Cloud</t>
        </is>
      </c>
      <c r="E5" s="9" t="inlineStr">
        <is>
          <t>G6</t>
        </is>
      </c>
      <c r="F5" s="9" t="inlineStr">
        <is>
          <t>Sunita Rao</t>
        </is>
      </c>
      <c r="G5" s="9" t="inlineStr">
        <is>
          <t>Thomas George</t>
        </is>
      </c>
      <c r="H5" s="9" t="n">
        <v>2</v>
      </c>
      <c r="I5" s="9" t="inlineStr">
        <is>
          <t>Full-time Permanent</t>
        </is>
      </c>
      <c r="J5" s="10" t="inlineStr">
        <is>
          <t>Operate and automate the company's hybrid cloud estate across AWS and on-premise data centres.</t>
        </is>
      </c>
      <c r="K5" s="10" t="inlineStr">
        <is>
          <t>Automate provisioning with Terraform.
Manage Kubernetes clusters and CI/CD pipelines.
Support migration of legacy workloads to AWS.</t>
        </is>
      </c>
      <c r="L5" s="10" t="inlineStr">
        <is>
          <t>Diploma or degree in IT/Engineering.</t>
        </is>
      </c>
      <c r="M5" s="10" t="inlineStr">
        <is>
          <t>AWS, Terraform, Linux, Kubernetes</t>
        </is>
      </c>
      <c r="N5" s="10" t="inlineStr">
        <is>
          <t>Python, Ansible, CI/CD</t>
        </is>
      </c>
      <c r="O5" s="9" t="n">
        <v>3</v>
      </c>
      <c r="P5" s="9" t="n">
        <v>5</v>
      </c>
      <c r="Q5" s="9" t="inlineStr">
        <is>
          <t>AWS Solutions Architect – Associate (required within 6 months)</t>
        </is>
      </c>
      <c r="R5" s="9" t="inlineStr">
        <is>
          <t>Chennai</t>
        </is>
      </c>
      <c r="S5" s="9" t="inlineStr">
        <is>
          <t>Remote</t>
        </is>
      </c>
      <c r="T5" s="10" t="inlineStr">
        <is>
          <t>IT Infrastructure, Engineering, Customer Success</t>
        </is>
      </c>
      <c r="U5" s="10" t="inlineStr">
        <is>
          <t>G4, G5, G6</t>
        </is>
      </c>
      <c r="V5" s="9" t="n">
        <v>12</v>
      </c>
      <c r="W5" s="9" t="inlineStr">
        <is>
          <t>Meets Expectations or above</t>
        </is>
      </c>
      <c r="X5" s="9" t="inlineStr">
        <is>
          <t>Required before application</t>
        </is>
      </c>
      <c r="Y5" s="11" t="n">
        <v>46303</v>
      </c>
      <c r="Z5" s="11" t="n">
        <v>46336</v>
      </c>
      <c r="AA5" s="9" t="inlineStr">
        <is>
          <t>Mandatory</t>
        </is>
      </c>
      <c r="AB5" s="9" t="inlineStr">
        <is>
          <t>AP-TECH</t>
        </is>
      </c>
      <c r="AC5" s="9" t="n">
        <v>55</v>
      </c>
      <c r="AD5" s="9" t="inlineStr">
        <is>
          <t>Yes</t>
        </is>
      </c>
      <c r="AE5" s="9" t="inlineStr">
        <is>
          <t>Published</t>
        </is>
      </c>
      <c r="AF5" s="11" t="n">
        <v>46301</v>
      </c>
      <c r="AG5" s="12">
        <f>IF(A5="","",SUMIFS('Assessment Weights'!$D:$D,'Assessment Weights'!$A:$A,A5))</f>
        <v/>
      </c>
      <c r="AH5" s="12">
        <f>IF(A5="","",IF(COUNTIF($A$2:$A$1000,A5)&gt;1,"Duplicate Job ID",IF(AND(AG5&lt;&gt;100,AG5&lt;&gt;0),"Weights must total 100",IF(Z5-Y5&lt;7,"Closing date must be 7+ days after opening","OK"))))</f>
        <v/>
      </c>
    </row>
    <row r="6">
      <c r="A6" s="9" t="inlineStr">
        <is>
          <t>JOB-2026-1005</t>
        </is>
      </c>
      <c r="B6" s="9" t="inlineStr">
        <is>
          <t>Financial Planning Analyst</t>
        </is>
      </c>
      <c r="C6" s="9" t="inlineStr">
        <is>
          <t>Finance</t>
        </is>
      </c>
      <c r="D6" s="9" t="inlineStr">
        <is>
          <t>Finance &amp; Accounting</t>
        </is>
      </c>
      <c r="E6" s="9" t="inlineStr">
        <is>
          <t>G5</t>
        </is>
      </c>
      <c r="F6" s="9" t="inlineStr">
        <is>
          <t>Thomas George</t>
        </is>
      </c>
      <c r="G6" s="9" t="inlineStr">
        <is>
          <t>Neha Joshi</t>
        </is>
      </c>
      <c r="H6" s="9" t="n">
        <v>1</v>
      </c>
      <c r="I6" s="9" t="inlineStr">
        <is>
          <t>Full-time Permanent</t>
        </is>
      </c>
      <c r="J6" s="10" t="inlineStr">
        <is>
          <t>Support annual budgeting, monthly forecasting and variance analysis for the Retail business unit.</t>
        </is>
      </c>
      <c r="K6" s="10" t="inlineStr">
        <is>
          <t>Prepare monthly forecast packs.
Build driver-based financial models.
Partner with business heads on variance commentary.</t>
        </is>
      </c>
      <c r="L6" s="10" t="inlineStr">
        <is>
          <t>CA, CMA, MBA (Finance) or equivalent.</t>
        </is>
      </c>
      <c r="M6" s="10" t="inlineStr">
        <is>
          <t>Financial Modelling, Excel, Budgeting, Variance Analysis</t>
        </is>
      </c>
      <c r="N6" s="10" t="inlineStr">
        <is>
          <t>Power BI, SAP</t>
        </is>
      </c>
      <c r="O6" s="9" t="n">
        <v>2</v>
      </c>
      <c r="P6" s="9" t="n">
        <v>4</v>
      </c>
      <c r="Q6" s="9" t="inlineStr">
        <is>
          <t>CA / CMA (preferred)</t>
        </is>
      </c>
      <c r="R6" s="9" t="inlineStr">
        <is>
          <t>Bengaluru</t>
        </is>
      </c>
      <c r="S6" s="9" t="inlineStr">
        <is>
          <t>On-site</t>
        </is>
      </c>
      <c r="T6" s="10" t="inlineStr">
        <is>
          <t>Finance, Operations, Data &amp; Analytics</t>
        </is>
      </c>
      <c r="U6" s="10" t="inlineStr">
        <is>
          <t>G4, G5</t>
        </is>
      </c>
      <c r="V6" s="9" t="n">
        <v>12</v>
      </c>
      <c r="W6" s="9" t="inlineStr">
        <is>
          <t>Meets Expectations or above</t>
        </is>
      </c>
      <c r="X6" s="9" t="inlineStr">
        <is>
          <t>Required before shortlisting</t>
        </is>
      </c>
      <c r="Y6" s="11" t="n">
        <v>46297</v>
      </c>
      <c r="Z6" s="11" t="n">
        <v>46320</v>
      </c>
      <c r="AA6" s="9" t="inlineStr">
        <is>
          <t>Mandatory</t>
        </is>
      </c>
      <c r="AB6" s="9" t="inlineStr">
        <is>
          <t>AP-GEN</t>
        </is>
      </c>
      <c r="AC6" s="9" t="n">
        <v>55</v>
      </c>
      <c r="AD6" s="9" t="inlineStr">
        <is>
          <t>No</t>
        </is>
      </c>
      <c r="AE6" s="9" t="inlineStr">
        <is>
          <t>Published</t>
        </is>
      </c>
      <c r="AF6" s="11" t="n">
        <v>46295</v>
      </c>
      <c r="AG6" s="12">
        <f>IF(A6="","",SUMIFS('Assessment Weights'!$D:$D,'Assessment Weights'!$A:$A,A6))</f>
        <v/>
      </c>
      <c r="AH6" s="12">
        <f>IF(A6="","",IF(COUNTIF($A$2:$A$1000,A6)&gt;1,"Duplicate Job ID",IF(AND(AG6&lt;&gt;100,AG6&lt;&gt;0),"Weights must total 100",IF(Z6-Y6&lt;7,"Closing date must be 7+ days after opening","OK"))))</f>
        <v/>
      </c>
    </row>
    <row r="7">
      <c r="A7" s="9" t="inlineStr">
        <is>
          <t>JOB-2026-1006</t>
        </is>
      </c>
      <c r="B7" s="9" t="inlineStr">
        <is>
          <t>HR Business Partner – Technology</t>
        </is>
      </c>
      <c r="C7" s="9" t="inlineStr">
        <is>
          <t>Human Resources</t>
        </is>
      </c>
      <c r="D7" s="9" t="inlineStr">
        <is>
          <t>Human Resources</t>
        </is>
      </c>
      <c r="E7" s="9" t="inlineStr">
        <is>
          <t>G7</t>
        </is>
      </c>
      <c r="F7" s="9" t="inlineStr">
        <is>
          <t>Arjun Mehta</t>
        </is>
      </c>
      <c r="G7" s="9" t="inlineStr">
        <is>
          <t>Priya Raman</t>
        </is>
      </c>
      <c r="H7" s="9" t="n">
        <v>1</v>
      </c>
      <c r="I7" s="9" t="inlineStr">
        <is>
          <t>Full-time Permanent</t>
        </is>
      </c>
      <c r="J7" s="10" t="inlineStr">
        <is>
          <t>Act as strategic HR partner to Technology leadership for a population of ~1,200 employees.</t>
        </is>
      </c>
      <c r="K7" s="10" t="inlineStr">
        <is>
          <t>Advise leaders on org design and workforce planning.
Lead performance and talent review cycles.
Handle employee relations cases.</t>
        </is>
      </c>
      <c r="L7" s="10" t="inlineStr">
        <is>
          <t>Postgraduate degree in HR or related field.</t>
        </is>
      </c>
      <c r="M7" s="10" t="inlineStr">
        <is>
          <t>Talent Management, Employee Relations, Workforce Planning</t>
        </is>
      </c>
      <c r="N7" s="10" t="inlineStr">
        <is>
          <t>HR Analytics, Change Management</t>
        </is>
      </c>
      <c r="O7" s="9" t="n">
        <v>6</v>
      </c>
      <c r="P7" s="9" t="n">
        <v>8</v>
      </c>
      <c r="Q7" s="9" t="inlineStr">
        <is>
          <t>SHRM-CP or equivalent (preferred)</t>
        </is>
      </c>
      <c r="R7" s="9" t="inlineStr">
        <is>
          <t>Mumbai</t>
        </is>
      </c>
      <c r="S7" s="9" t="inlineStr">
        <is>
          <t>Hybrid</t>
        </is>
      </c>
      <c r="T7" s="10" t="inlineStr">
        <is>
          <t>Human Resources</t>
        </is>
      </c>
      <c r="U7" s="10" t="inlineStr">
        <is>
          <t>G6, G7</t>
        </is>
      </c>
      <c r="V7" s="9" t="n">
        <v>12</v>
      </c>
      <c r="W7" s="9" t="inlineStr">
        <is>
          <t>Meets Expectations or above</t>
        </is>
      </c>
      <c r="X7" s="9" t="inlineStr">
        <is>
          <t>Required before shortlisting</t>
        </is>
      </c>
      <c r="Y7" s="11" t="n">
        <v>46315</v>
      </c>
      <c r="Z7" s="11" t="n">
        <v>46346</v>
      </c>
      <c r="AA7" s="9" t="inlineStr">
        <is>
          <t>Mandatory</t>
        </is>
      </c>
      <c r="AB7" s="9" t="inlineStr">
        <is>
          <t>AP-GEN</t>
        </is>
      </c>
      <c r="AC7" s="9" t="n">
        <v>60</v>
      </c>
      <c r="AD7" s="9" t="inlineStr">
        <is>
          <t>No</t>
        </is>
      </c>
      <c r="AE7" s="9" t="inlineStr">
        <is>
          <t>Pending Approval</t>
        </is>
      </c>
      <c r="AF7" s="11" t="n">
        <v>46307</v>
      </c>
      <c r="AG7" s="12">
        <f>IF(A7="","",SUMIFS('Assessment Weights'!$D:$D,'Assessment Weights'!$A:$A,A7))</f>
        <v/>
      </c>
      <c r="AH7" s="12">
        <f>IF(A7="","",IF(COUNTIF($A$2:$A$1000,A7)&gt;1,"Duplicate Job ID",IF(AND(AG7&lt;&gt;100,AG7&lt;&gt;0),"Weights must total 100",IF(Z7-Y7&lt;7,"Closing date must be 7+ days after opening","OK"))))</f>
        <v/>
      </c>
    </row>
    <row r="8">
      <c r="A8" s="9" t="inlineStr">
        <is>
          <t>JOB-2026-1007</t>
        </is>
      </c>
      <c r="B8" s="9" t="inlineStr">
        <is>
          <t>Product Marketing Manager</t>
        </is>
      </c>
      <c r="C8" s="9" t="inlineStr">
        <is>
          <t>Marketing</t>
        </is>
      </c>
      <c r="D8" s="9" t="inlineStr">
        <is>
          <t>Marketing &amp; Communications</t>
        </is>
      </c>
      <c r="E8" s="9" t="inlineStr">
        <is>
          <t>G7</t>
        </is>
      </c>
      <c r="F8" s="9" t="inlineStr">
        <is>
          <t>Kavita Iyer</t>
        </is>
      </c>
      <c r="G8" s="9" t="inlineStr">
        <is>
          <t>Thomas George</t>
        </is>
      </c>
      <c r="H8" s="9" t="n">
        <v>1</v>
      </c>
      <c r="I8" s="9" t="inlineStr">
        <is>
          <t>Full-time Permanent</t>
        </is>
      </c>
      <c r="J8" s="10" t="inlineStr">
        <is>
          <t>Own go-to-market positioning for the SME lending product line.</t>
        </is>
      </c>
      <c r="K8" s="10" t="inlineStr">
        <is>
          <t>Define messaging and positioning.
Plan product launches with Sales and Product.</t>
        </is>
      </c>
      <c r="L8" s="10" t="inlineStr">
        <is>
          <t>MBA (Marketing) preferred.</t>
        </is>
      </c>
      <c r="M8" s="10" t="inlineStr">
        <is>
          <t>Product Marketing, Go-to-Market, Market Research</t>
        </is>
      </c>
      <c r="N8" s="10" t="inlineStr">
        <is>
          <t>B2B Marketing</t>
        </is>
      </c>
      <c r="O8" s="9" t="n">
        <v>5</v>
      </c>
      <c r="P8" s="9" t="n">
        <v>7</v>
      </c>
      <c r="Q8" s="9" t="n"/>
      <c r="R8" s="9" t="inlineStr">
        <is>
          <t>Gurugram</t>
        </is>
      </c>
      <c r="S8" s="9" t="inlineStr">
        <is>
          <t>Hybrid</t>
        </is>
      </c>
      <c r="T8" s="10" t="inlineStr">
        <is>
          <t>Marketing, Product Management</t>
        </is>
      </c>
      <c r="U8" s="10" t="inlineStr">
        <is>
          <t>G6, G7</t>
        </is>
      </c>
      <c r="V8" s="9" t="n">
        <v>12</v>
      </c>
      <c r="W8" s="9" t="inlineStr">
        <is>
          <t>Meets Expectations or above</t>
        </is>
      </c>
      <c r="X8" s="9" t="inlineStr">
        <is>
          <t>Required before shortlisting</t>
        </is>
      </c>
      <c r="Y8" s="11" t="n">
        <v>46327</v>
      </c>
      <c r="Z8" s="11" t="n">
        <v>46356</v>
      </c>
      <c r="AA8" s="9" t="inlineStr">
        <is>
          <t>Mandatory</t>
        </is>
      </c>
      <c r="AB8" s="9" t="inlineStr">
        <is>
          <t>AP-GEN</t>
        </is>
      </c>
      <c r="AC8" s="9" t="n">
        <v>60</v>
      </c>
      <c r="AD8" s="9" t="inlineStr">
        <is>
          <t>No</t>
        </is>
      </c>
      <c r="AE8" s="9" t="inlineStr">
        <is>
          <t>Draft</t>
        </is>
      </c>
      <c r="AF8" s="11" t="n">
        <v>46308</v>
      </c>
      <c r="AG8" s="12">
        <f>IF(A8="","",SUMIFS('Assessment Weights'!$D:$D,'Assessment Weights'!$A:$A,A8))</f>
        <v/>
      </c>
      <c r="AH8" s="12">
        <f>IF(A8="","",IF(COUNTIF($A$2:$A$1000,A8)&gt;1,"Duplicate Job ID",IF(AND(AG8&lt;&gt;100,AG8&lt;&gt;0),"Weights must total 100",IF(Z8-Y8&lt;7,"Closing date must be 7+ days after opening","OK"))))</f>
        <v/>
      </c>
    </row>
    <row r="9">
      <c r="A9" s="9" t="inlineStr">
        <is>
          <t>JOB-2026-0994</t>
        </is>
      </c>
      <c r="B9" s="9" t="inlineStr">
        <is>
          <t>QA Automation Lead</t>
        </is>
      </c>
      <c r="C9" s="9" t="inlineStr">
        <is>
          <t>Engineering</t>
        </is>
      </c>
      <c r="D9" s="9" t="inlineStr">
        <is>
          <t>Software Engineering</t>
        </is>
      </c>
      <c r="E9" s="9" t="inlineStr">
        <is>
          <t>G7</t>
        </is>
      </c>
      <c r="F9" s="9" t="inlineStr">
        <is>
          <t>Rahul Desai</t>
        </is>
      </c>
      <c r="G9" s="9" t="inlineStr">
        <is>
          <t>Priya Raman</t>
        </is>
      </c>
      <c r="H9" s="9" t="n">
        <v>1</v>
      </c>
      <c r="I9" s="9" t="inlineStr">
        <is>
          <t>Full-time Permanent</t>
        </is>
      </c>
      <c r="J9" s="10" t="inlineStr">
        <is>
          <t>Lead test automation strategy for mobile banking apps.</t>
        </is>
      </c>
      <c r="K9" s="10" t="inlineStr">
        <is>
          <t>Own automation frameworks.
Lead a team of 4 QA engineers.</t>
        </is>
      </c>
      <c r="L9" s="10" t="inlineStr">
        <is>
          <t>Bachelor's degree in Engineering.</t>
        </is>
      </c>
      <c r="M9" s="10" t="inlineStr">
        <is>
          <t>Selenium, Appium, Java, Test Strategy</t>
        </is>
      </c>
      <c r="N9" s="10" t="inlineStr">
        <is>
          <t>CI/CD</t>
        </is>
      </c>
      <c r="O9" s="9" t="n">
        <v>6</v>
      </c>
      <c r="P9" s="9" t="n">
        <v>8</v>
      </c>
      <c r="Q9" s="9" t="inlineStr">
        <is>
          <t>ISTQB (preferred)</t>
        </is>
      </c>
      <c r="R9" s="9" t="inlineStr">
        <is>
          <t>Pune</t>
        </is>
      </c>
      <c r="S9" s="9" t="inlineStr">
        <is>
          <t>Hybrid</t>
        </is>
      </c>
      <c r="T9" s="10" t="inlineStr">
        <is>
          <t>Engineering</t>
        </is>
      </c>
      <c r="U9" s="10" t="inlineStr">
        <is>
          <t>G6, G7</t>
        </is>
      </c>
      <c r="V9" s="9" t="n">
        <v>12</v>
      </c>
      <c r="W9" s="9" t="inlineStr">
        <is>
          <t>Meets Expectations or above</t>
        </is>
      </c>
      <c r="X9" s="9" t="inlineStr">
        <is>
          <t>Required before shortlisting</t>
        </is>
      </c>
      <c r="Y9" s="11" t="n">
        <v>46249</v>
      </c>
      <c r="Z9" s="11" t="n">
        <v>46280</v>
      </c>
      <c r="AA9" s="9" t="inlineStr">
        <is>
          <t>Mandatory</t>
        </is>
      </c>
      <c r="AB9" s="9" t="inlineStr">
        <is>
          <t>AP-TECH</t>
        </is>
      </c>
      <c r="AC9" s="9" t="n">
        <v>60</v>
      </c>
      <c r="AD9" s="9" t="inlineStr">
        <is>
          <t>No</t>
        </is>
      </c>
      <c r="AE9" s="9" t="inlineStr">
        <is>
          <t>Closed</t>
        </is>
      </c>
      <c r="AF9" s="11" t="n">
        <v>46244</v>
      </c>
      <c r="AG9" s="12">
        <f>IF(A9="","",SUMIFS('Assessment Weights'!$D:$D,'Assessment Weights'!$A:$A,A9))</f>
        <v/>
      </c>
      <c r="AH9" s="12">
        <f>IF(A9="","",IF(COUNTIF($A$2:$A$1000,A9)&gt;1,"Duplicate Job ID",IF(AND(AG9&lt;&gt;100,AG9&lt;&gt;0),"Weights must total 100",IF(Z9-Y9&lt;7,"Closing date must be 7+ days after opening","OK"))))</f>
        <v/>
      </c>
    </row>
    <row r="10">
      <c r="A10" s="9" t="inlineStr">
        <is>
          <t>JOB-2026-0990</t>
        </is>
      </c>
      <c r="B10" s="9" t="inlineStr">
        <is>
          <t>Procurement Specialist</t>
        </is>
      </c>
      <c r="C10" s="9" t="inlineStr">
        <is>
          <t>Operations</t>
        </is>
      </c>
      <c r="D10" s="9" t="inlineStr">
        <is>
          <t>Operations</t>
        </is>
      </c>
      <c r="E10" s="9" t="inlineStr">
        <is>
          <t>G5</t>
        </is>
      </c>
      <c r="F10" s="9" t="inlineStr">
        <is>
          <t>Sunita Rao</t>
        </is>
      </c>
      <c r="G10" s="9" t="inlineStr">
        <is>
          <t>Neha Joshi</t>
        </is>
      </c>
      <c r="H10" s="9" t="n">
        <v>1</v>
      </c>
      <c r="I10" s="9" t="inlineStr">
        <is>
          <t>Full-time Permanent</t>
        </is>
      </c>
      <c r="J10" s="10" t="inlineStr">
        <is>
          <t>Manage vendor sourcing for facilities and IT hardware.</t>
        </is>
      </c>
      <c r="K10" s="10" t="inlineStr">
        <is>
          <t>Run RFP processes.</t>
        </is>
      </c>
      <c r="L10" s="10" t="inlineStr">
        <is>
          <t>Bachelor's degree.</t>
        </is>
      </c>
      <c r="M10" s="10" t="inlineStr">
        <is>
          <t>Vendor Management, Negotiation</t>
        </is>
      </c>
      <c r="N10" s="10" t="inlineStr">
        <is>
          <t>SAP Ariba</t>
        </is>
      </c>
      <c r="O10" s="9" t="n">
        <v>3</v>
      </c>
      <c r="P10" s="9" t="n">
        <v>5</v>
      </c>
      <c r="Q10" s="9" t="n"/>
      <c r="R10" s="9" t="inlineStr">
        <is>
          <t>Chennai</t>
        </is>
      </c>
      <c r="S10" s="9" t="inlineStr">
        <is>
          <t>On-site</t>
        </is>
      </c>
      <c r="T10" s="10" t="inlineStr">
        <is>
          <t>Operations, Finance</t>
        </is>
      </c>
      <c r="U10" s="10" t="inlineStr">
        <is>
          <t>G4, G5</t>
        </is>
      </c>
      <c r="V10" s="9" t="n">
        <v>12</v>
      </c>
      <c r="W10" s="9" t="inlineStr">
        <is>
          <t>Meets Expectations or above</t>
        </is>
      </c>
      <c r="X10" s="9" t="inlineStr">
        <is>
          <t>Required before shortlisting</t>
        </is>
      </c>
      <c r="Y10" s="11" t="n">
        <v>46235</v>
      </c>
      <c r="Z10" s="11" t="n">
        <v>46265</v>
      </c>
      <c r="AA10" s="9" t="inlineStr">
        <is>
          <t>Mandatory</t>
        </is>
      </c>
      <c r="AB10" s="9" t="inlineStr">
        <is>
          <t>AP-GEN</t>
        </is>
      </c>
      <c r="AC10" s="9" t="n">
        <v>55</v>
      </c>
      <c r="AD10" s="9" t="inlineStr">
        <is>
          <t>No</t>
        </is>
      </c>
      <c r="AE10" s="9" t="inlineStr">
        <is>
          <t>Cancelled</t>
        </is>
      </c>
      <c r="AF10" s="11" t="n">
        <v>46231</v>
      </c>
      <c r="AG10" s="12">
        <f>IF(A10="","",SUMIFS('Assessment Weights'!$D:$D,'Assessment Weights'!$A:$A,A10))</f>
        <v/>
      </c>
      <c r="AH10" s="12">
        <f>IF(A10="","",IF(COUNTIF($A$2:$A$1000,A10)&gt;1,"Duplicate Job ID",IF(AND(AG10&lt;&gt;100,AG10&lt;&gt;0),"Weights must total 100",IF(Z10-Y10&lt;7,"Closing date must be 7+ days after opening","OK"))))</f>
        <v/>
      </c>
    </row>
    <row r="11">
      <c r="Y11" s="13" t="n"/>
      <c r="Z11" s="13" t="n"/>
      <c r="AF11" s="13" t="n"/>
      <c r="AG11" s="12">
        <f>IF(A11="","",SUMIFS('Assessment Weights'!$D:$D,'Assessment Weights'!$A:$A,A11))</f>
        <v/>
      </c>
      <c r="AH11" s="12">
        <f>IF(A11="","",IF(COUNTIF($A$2:$A$1000,A11)&gt;1,"Duplicate Job ID",IF(AND(AG11&lt;&gt;100,AG11&lt;&gt;0),"Weights must total 100",IF(Z11-Y11&lt;7,"Closing date must be 7+ days after opening","OK"))))</f>
        <v/>
      </c>
    </row>
    <row r="12">
      <c r="Y12" s="13" t="n"/>
      <c r="Z12" s="13" t="n"/>
      <c r="AF12" s="13" t="n"/>
      <c r="AG12" s="12">
        <f>IF(A12="","",SUMIFS('Assessment Weights'!$D:$D,'Assessment Weights'!$A:$A,A12))</f>
        <v/>
      </c>
      <c r="AH12" s="12">
        <f>IF(A12="","",IF(COUNTIF($A$2:$A$1000,A12)&gt;1,"Duplicate Job ID",IF(AND(AG12&lt;&gt;100,AG12&lt;&gt;0),"Weights must total 100",IF(Z12-Y12&lt;7,"Closing date must be 7+ days after opening","OK"))))</f>
        <v/>
      </c>
    </row>
    <row r="13">
      <c r="Y13" s="13" t="n"/>
      <c r="Z13" s="13" t="n"/>
      <c r="AF13" s="13" t="n"/>
      <c r="AG13" s="12">
        <f>IF(A13="","",SUMIFS('Assessment Weights'!$D:$D,'Assessment Weights'!$A:$A,A13))</f>
        <v/>
      </c>
      <c r="AH13" s="12">
        <f>IF(A13="","",IF(COUNTIF($A$2:$A$1000,A13)&gt;1,"Duplicate Job ID",IF(AND(AG13&lt;&gt;100,AG13&lt;&gt;0),"Weights must total 100",IF(Z13-Y13&lt;7,"Closing date must be 7+ days after opening","OK"))))</f>
        <v/>
      </c>
    </row>
    <row r="14">
      <c r="Y14" s="13" t="n"/>
      <c r="Z14" s="13" t="n"/>
      <c r="AF14" s="13" t="n"/>
      <c r="AG14" s="12">
        <f>IF(A14="","",SUMIFS('Assessment Weights'!$D:$D,'Assessment Weights'!$A:$A,A14))</f>
        <v/>
      </c>
      <c r="AH14" s="12">
        <f>IF(A14="","",IF(COUNTIF($A$2:$A$1000,A14)&gt;1,"Duplicate Job ID",IF(AND(AG14&lt;&gt;100,AG14&lt;&gt;0),"Weights must total 100",IF(Z14-Y14&lt;7,"Closing date must be 7+ days after opening","OK"))))</f>
        <v/>
      </c>
    </row>
    <row r="15">
      <c r="Y15" s="13" t="n"/>
      <c r="Z15" s="13" t="n"/>
      <c r="AF15" s="13" t="n"/>
      <c r="AG15" s="12">
        <f>IF(A15="","",SUMIFS('Assessment Weights'!$D:$D,'Assessment Weights'!$A:$A,A15))</f>
        <v/>
      </c>
      <c r="AH15" s="12">
        <f>IF(A15="","",IF(COUNTIF($A$2:$A$1000,A15)&gt;1,"Duplicate Job ID",IF(AND(AG15&lt;&gt;100,AG15&lt;&gt;0),"Weights must total 100",IF(Z15-Y15&lt;7,"Closing date must be 7+ days after opening","OK"))))</f>
        <v/>
      </c>
    </row>
    <row r="16">
      <c r="Y16" s="13" t="n"/>
      <c r="Z16" s="13" t="n"/>
      <c r="AF16" s="13" t="n"/>
      <c r="AG16" s="12">
        <f>IF(A16="","",SUMIFS('Assessment Weights'!$D:$D,'Assessment Weights'!$A:$A,A16))</f>
        <v/>
      </c>
      <c r="AH16" s="12">
        <f>IF(A16="","",IF(COUNTIF($A$2:$A$1000,A16)&gt;1,"Duplicate Job ID",IF(AND(AG16&lt;&gt;100,AG16&lt;&gt;0),"Weights must total 100",IF(Z16-Y16&lt;7,"Closing date must be 7+ days after opening","OK"))))</f>
        <v/>
      </c>
    </row>
    <row r="17">
      <c r="Y17" s="13" t="n"/>
      <c r="Z17" s="13" t="n"/>
      <c r="AF17" s="13" t="n"/>
      <c r="AG17" s="12">
        <f>IF(A17="","",SUMIFS('Assessment Weights'!$D:$D,'Assessment Weights'!$A:$A,A17))</f>
        <v/>
      </c>
      <c r="AH17" s="12">
        <f>IF(A17="","",IF(COUNTIF($A$2:$A$1000,A17)&gt;1,"Duplicate Job ID",IF(AND(AG17&lt;&gt;100,AG17&lt;&gt;0),"Weights must total 100",IF(Z17-Y17&lt;7,"Closing date must be 7+ days after opening","OK"))))</f>
        <v/>
      </c>
    </row>
    <row r="18">
      <c r="Y18" s="13" t="n"/>
      <c r="Z18" s="13" t="n"/>
      <c r="AF18" s="13" t="n"/>
      <c r="AG18" s="12">
        <f>IF(A18="","",SUMIFS('Assessment Weights'!$D:$D,'Assessment Weights'!$A:$A,A18))</f>
        <v/>
      </c>
      <c r="AH18" s="12">
        <f>IF(A18="","",IF(COUNTIF($A$2:$A$1000,A18)&gt;1,"Duplicate Job ID",IF(AND(AG18&lt;&gt;100,AG18&lt;&gt;0),"Weights must total 100",IF(Z18-Y18&lt;7,"Closing date must be 7+ days after opening","OK"))))</f>
        <v/>
      </c>
    </row>
    <row r="19">
      <c r="Y19" s="13" t="n"/>
      <c r="Z19" s="13" t="n"/>
      <c r="AF19" s="13" t="n"/>
      <c r="AG19" s="12">
        <f>IF(A19="","",SUMIFS('Assessment Weights'!$D:$D,'Assessment Weights'!$A:$A,A19))</f>
        <v/>
      </c>
      <c r="AH19" s="12">
        <f>IF(A19="","",IF(COUNTIF($A$2:$A$1000,A19)&gt;1,"Duplicate Job ID",IF(AND(AG19&lt;&gt;100,AG19&lt;&gt;0),"Weights must total 100",IF(Z19-Y19&lt;7,"Closing date must be 7+ days after opening","OK"))))</f>
        <v/>
      </c>
    </row>
    <row r="20">
      <c r="Y20" s="13" t="n"/>
      <c r="Z20" s="13" t="n"/>
      <c r="AF20" s="13" t="n"/>
      <c r="AG20" s="12">
        <f>IF(A20="","",SUMIFS('Assessment Weights'!$D:$D,'Assessment Weights'!$A:$A,A20))</f>
        <v/>
      </c>
      <c r="AH20" s="12">
        <f>IF(A20="","",IF(COUNTIF($A$2:$A$1000,A20)&gt;1,"Duplicate Job ID",IF(AND(AG20&lt;&gt;100,AG20&lt;&gt;0),"Weights must total 100",IF(Z20-Y20&lt;7,"Closing date must be 7+ days after opening","OK"))))</f>
        <v/>
      </c>
    </row>
    <row r="21">
      <c r="Y21" s="13" t="n"/>
      <c r="Z21" s="13" t="n"/>
      <c r="AF21" s="13" t="n"/>
      <c r="AG21" s="12">
        <f>IF(A21="","",SUMIFS('Assessment Weights'!$D:$D,'Assessment Weights'!$A:$A,A21))</f>
        <v/>
      </c>
      <c r="AH21" s="12">
        <f>IF(A21="","",IF(COUNTIF($A$2:$A$1000,A21)&gt;1,"Duplicate Job ID",IF(AND(AG21&lt;&gt;100,AG21&lt;&gt;0),"Weights must total 100",IF(Z21-Y21&lt;7,"Closing date must be 7+ days after opening","OK"))))</f>
        <v/>
      </c>
    </row>
    <row r="22">
      <c r="Y22" s="13" t="n"/>
      <c r="Z22" s="13" t="n"/>
      <c r="AF22" s="13" t="n"/>
      <c r="AG22" s="12">
        <f>IF(A22="","",SUMIFS('Assessment Weights'!$D:$D,'Assessment Weights'!$A:$A,A22))</f>
        <v/>
      </c>
      <c r="AH22" s="12">
        <f>IF(A22="","",IF(COUNTIF($A$2:$A$1000,A22)&gt;1,"Duplicate Job ID",IF(AND(AG22&lt;&gt;100,AG22&lt;&gt;0),"Weights must total 100",IF(Z22-Y22&lt;7,"Closing date must be 7+ days after opening","OK"))))</f>
        <v/>
      </c>
    </row>
    <row r="23">
      <c r="Y23" s="13" t="n"/>
      <c r="Z23" s="13" t="n"/>
      <c r="AF23" s="13" t="n"/>
      <c r="AG23" s="12">
        <f>IF(A23="","",SUMIFS('Assessment Weights'!$D:$D,'Assessment Weights'!$A:$A,A23))</f>
        <v/>
      </c>
      <c r="AH23" s="12">
        <f>IF(A23="","",IF(COUNTIF($A$2:$A$1000,A23)&gt;1,"Duplicate Job ID",IF(AND(AG23&lt;&gt;100,AG23&lt;&gt;0),"Weights must total 100",IF(Z23-Y23&lt;7,"Closing date must be 7+ days after opening","OK"))))</f>
        <v/>
      </c>
    </row>
    <row r="24">
      <c r="Y24" s="13" t="n"/>
      <c r="Z24" s="13" t="n"/>
      <c r="AF24" s="13" t="n"/>
      <c r="AG24" s="12">
        <f>IF(A24="","",SUMIFS('Assessment Weights'!$D:$D,'Assessment Weights'!$A:$A,A24))</f>
        <v/>
      </c>
      <c r="AH24" s="12">
        <f>IF(A24="","",IF(COUNTIF($A$2:$A$1000,A24)&gt;1,"Duplicate Job ID",IF(AND(AG24&lt;&gt;100,AG24&lt;&gt;0),"Weights must total 100",IF(Z24-Y24&lt;7,"Closing date must be 7+ days after opening","OK"))))</f>
        <v/>
      </c>
    </row>
    <row r="25">
      <c r="Y25" s="13" t="n"/>
      <c r="Z25" s="13" t="n"/>
      <c r="AF25" s="13" t="n"/>
      <c r="AG25" s="12">
        <f>IF(A25="","",SUMIFS('Assessment Weights'!$D:$D,'Assessment Weights'!$A:$A,A25))</f>
        <v/>
      </c>
      <c r="AH25" s="12">
        <f>IF(A25="","",IF(COUNTIF($A$2:$A$1000,A25)&gt;1,"Duplicate Job ID",IF(AND(AG25&lt;&gt;100,AG25&lt;&gt;0),"Weights must total 100",IF(Z25-Y25&lt;7,"Closing date must be 7+ days after opening","OK"))))</f>
        <v/>
      </c>
    </row>
    <row r="26">
      <c r="Y26" s="13" t="n"/>
      <c r="Z26" s="13" t="n"/>
      <c r="AF26" s="13" t="n"/>
      <c r="AG26" s="12">
        <f>IF(A26="","",SUMIFS('Assessment Weights'!$D:$D,'Assessment Weights'!$A:$A,A26))</f>
        <v/>
      </c>
      <c r="AH26" s="12">
        <f>IF(A26="","",IF(COUNTIF($A$2:$A$1000,A26)&gt;1,"Duplicate Job ID",IF(AND(AG26&lt;&gt;100,AG26&lt;&gt;0),"Weights must total 100",IF(Z26-Y26&lt;7,"Closing date must be 7+ days after opening","OK"))))</f>
        <v/>
      </c>
    </row>
    <row r="27">
      <c r="Y27" s="13" t="n"/>
      <c r="Z27" s="13" t="n"/>
      <c r="AF27" s="13" t="n"/>
      <c r="AG27" s="12">
        <f>IF(A27="","",SUMIFS('Assessment Weights'!$D:$D,'Assessment Weights'!$A:$A,A27))</f>
        <v/>
      </c>
      <c r="AH27" s="12">
        <f>IF(A27="","",IF(COUNTIF($A$2:$A$1000,A27)&gt;1,"Duplicate Job ID",IF(AND(AG27&lt;&gt;100,AG27&lt;&gt;0),"Weights must total 100",IF(Z27-Y27&lt;7,"Closing date must be 7+ days after opening","OK"))))</f>
        <v/>
      </c>
    </row>
    <row r="28">
      <c r="Y28" s="13" t="n"/>
      <c r="Z28" s="13" t="n"/>
      <c r="AF28" s="13" t="n"/>
      <c r="AG28" s="12">
        <f>IF(A28="","",SUMIFS('Assessment Weights'!$D:$D,'Assessment Weights'!$A:$A,A28))</f>
        <v/>
      </c>
      <c r="AH28" s="12">
        <f>IF(A28="","",IF(COUNTIF($A$2:$A$1000,A28)&gt;1,"Duplicate Job ID",IF(AND(AG28&lt;&gt;100,AG28&lt;&gt;0),"Weights must total 100",IF(Z28-Y28&lt;7,"Closing date must be 7+ days after opening","OK"))))</f>
        <v/>
      </c>
    </row>
    <row r="29">
      <c r="Y29" s="13" t="n"/>
      <c r="Z29" s="13" t="n"/>
      <c r="AF29" s="13" t="n"/>
      <c r="AG29" s="12">
        <f>IF(A29="","",SUMIFS('Assessment Weights'!$D:$D,'Assessment Weights'!$A:$A,A29))</f>
        <v/>
      </c>
      <c r="AH29" s="12">
        <f>IF(A29="","",IF(COUNTIF($A$2:$A$1000,A29)&gt;1,"Duplicate Job ID",IF(AND(AG29&lt;&gt;100,AG29&lt;&gt;0),"Weights must total 100",IF(Z29-Y29&lt;7,"Closing date must be 7+ days after opening","OK"))))</f>
        <v/>
      </c>
    </row>
    <row r="30">
      <c r="Y30" s="13" t="n"/>
      <c r="Z30" s="13" t="n"/>
      <c r="AF30" s="13" t="n"/>
      <c r="AG30" s="12">
        <f>IF(A30="","",SUMIFS('Assessment Weights'!$D:$D,'Assessment Weights'!$A:$A,A30))</f>
        <v/>
      </c>
      <c r="AH30" s="12">
        <f>IF(A30="","",IF(COUNTIF($A$2:$A$1000,A30)&gt;1,"Duplicate Job ID",IF(AND(AG30&lt;&gt;100,AG30&lt;&gt;0),"Weights must total 100",IF(Z30-Y30&lt;7,"Closing date must be 7+ days after opening","OK"))))</f>
        <v/>
      </c>
    </row>
    <row r="31">
      <c r="Y31" s="13" t="n"/>
      <c r="Z31" s="13" t="n"/>
      <c r="AF31" s="13" t="n"/>
      <c r="AG31" s="12">
        <f>IF(A31="","",SUMIFS('Assessment Weights'!$D:$D,'Assessment Weights'!$A:$A,A31))</f>
        <v/>
      </c>
      <c r="AH31" s="12">
        <f>IF(A31="","",IF(COUNTIF($A$2:$A$1000,A31)&gt;1,"Duplicate Job ID",IF(AND(AG31&lt;&gt;100,AG31&lt;&gt;0),"Weights must total 100",IF(Z31-Y31&lt;7,"Closing date must be 7+ days after opening","OK"))))</f>
        <v/>
      </c>
    </row>
    <row r="32">
      <c r="Y32" s="13" t="n"/>
      <c r="Z32" s="13" t="n"/>
      <c r="AF32" s="13" t="n"/>
      <c r="AG32" s="12">
        <f>IF(A32="","",SUMIFS('Assessment Weights'!$D:$D,'Assessment Weights'!$A:$A,A32))</f>
        <v/>
      </c>
      <c r="AH32" s="12">
        <f>IF(A32="","",IF(COUNTIF($A$2:$A$1000,A32)&gt;1,"Duplicate Job ID",IF(AND(AG32&lt;&gt;100,AG32&lt;&gt;0),"Weights must total 100",IF(Z32-Y32&lt;7,"Closing date must be 7+ days after opening","OK"))))</f>
        <v/>
      </c>
    </row>
    <row r="33">
      <c r="Y33" s="13" t="n"/>
      <c r="Z33" s="13" t="n"/>
      <c r="AF33" s="13" t="n"/>
      <c r="AG33" s="12">
        <f>IF(A33="","",SUMIFS('Assessment Weights'!$D:$D,'Assessment Weights'!$A:$A,A33))</f>
        <v/>
      </c>
      <c r="AH33" s="12">
        <f>IF(A33="","",IF(COUNTIF($A$2:$A$1000,A33)&gt;1,"Duplicate Job ID",IF(AND(AG33&lt;&gt;100,AG33&lt;&gt;0),"Weights must total 100",IF(Z33-Y33&lt;7,"Closing date must be 7+ days after opening","OK"))))</f>
        <v/>
      </c>
    </row>
    <row r="34">
      <c r="Y34" s="13" t="n"/>
      <c r="Z34" s="13" t="n"/>
      <c r="AF34" s="13" t="n"/>
      <c r="AG34" s="12">
        <f>IF(A34="","",SUMIFS('Assessment Weights'!$D:$D,'Assessment Weights'!$A:$A,A34))</f>
        <v/>
      </c>
      <c r="AH34" s="12">
        <f>IF(A34="","",IF(COUNTIF($A$2:$A$1000,A34)&gt;1,"Duplicate Job ID",IF(AND(AG34&lt;&gt;100,AG34&lt;&gt;0),"Weights must total 100",IF(Z34-Y34&lt;7,"Closing date must be 7+ days after opening","OK"))))</f>
        <v/>
      </c>
    </row>
    <row r="35">
      <c r="Y35" s="13" t="n"/>
      <c r="Z35" s="13" t="n"/>
      <c r="AF35" s="13" t="n"/>
      <c r="AG35" s="12">
        <f>IF(A35="","",SUMIFS('Assessment Weights'!$D:$D,'Assessment Weights'!$A:$A,A35))</f>
        <v/>
      </c>
      <c r="AH35" s="12">
        <f>IF(A35="","",IF(COUNTIF($A$2:$A$1000,A35)&gt;1,"Duplicate Job ID",IF(AND(AG35&lt;&gt;100,AG35&lt;&gt;0),"Weights must total 100",IF(Z35-Y35&lt;7,"Closing date must be 7+ days after opening","OK"))))</f>
        <v/>
      </c>
    </row>
    <row r="36">
      <c r="Y36" s="13" t="n"/>
      <c r="Z36" s="13" t="n"/>
      <c r="AF36" s="13" t="n"/>
      <c r="AG36" s="12">
        <f>IF(A36="","",SUMIFS('Assessment Weights'!$D:$D,'Assessment Weights'!$A:$A,A36))</f>
        <v/>
      </c>
      <c r="AH36" s="12">
        <f>IF(A36="","",IF(COUNTIF($A$2:$A$1000,A36)&gt;1,"Duplicate Job ID",IF(AND(AG36&lt;&gt;100,AG36&lt;&gt;0),"Weights must total 100",IF(Z36-Y36&lt;7,"Closing date must be 7+ days after opening","OK"))))</f>
        <v/>
      </c>
    </row>
    <row r="37">
      <c r="Y37" s="13" t="n"/>
      <c r="Z37" s="13" t="n"/>
      <c r="AF37" s="13" t="n"/>
      <c r="AG37" s="12">
        <f>IF(A37="","",SUMIFS('Assessment Weights'!$D:$D,'Assessment Weights'!$A:$A,A37))</f>
        <v/>
      </c>
      <c r="AH37" s="12">
        <f>IF(A37="","",IF(COUNTIF($A$2:$A$1000,A37)&gt;1,"Duplicate Job ID",IF(AND(AG37&lt;&gt;100,AG37&lt;&gt;0),"Weights must total 100",IF(Z37-Y37&lt;7,"Closing date must be 7+ days after opening","OK"))))</f>
        <v/>
      </c>
    </row>
    <row r="38">
      <c r="Y38" s="13" t="n"/>
      <c r="Z38" s="13" t="n"/>
      <c r="AF38" s="13" t="n"/>
      <c r="AG38" s="12">
        <f>IF(A38="","",SUMIFS('Assessment Weights'!$D:$D,'Assessment Weights'!$A:$A,A38))</f>
        <v/>
      </c>
      <c r="AH38" s="12">
        <f>IF(A38="","",IF(COUNTIF($A$2:$A$1000,A38)&gt;1,"Duplicate Job ID",IF(AND(AG38&lt;&gt;100,AG38&lt;&gt;0),"Weights must total 100",IF(Z38-Y38&lt;7,"Closing date must be 7+ days after opening","OK"))))</f>
        <v/>
      </c>
    </row>
    <row r="39">
      <c r="Y39" s="13" t="n"/>
      <c r="Z39" s="13" t="n"/>
      <c r="AF39" s="13" t="n"/>
      <c r="AG39" s="12">
        <f>IF(A39="","",SUMIFS('Assessment Weights'!$D:$D,'Assessment Weights'!$A:$A,A39))</f>
        <v/>
      </c>
      <c r="AH39" s="12">
        <f>IF(A39="","",IF(COUNTIF($A$2:$A$1000,A39)&gt;1,"Duplicate Job ID",IF(AND(AG39&lt;&gt;100,AG39&lt;&gt;0),"Weights must total 100",IF(Z39-Y39&lt;7,"Closing date must be 7+ days after opening","OK"))))</f>
        <v/>
      </c>
    </row>
    <row r="40">
      <c r="Y40" s="13" t="n"/>
      <c r="Z40" s="13" t="n"/>
      <c r="AF40" s="13" t="n"/>
      <c r="AG40" s="12">
        <f>IF(A40="","",SUMIFS('Assessment Weights'!$D:$D,'Assessment Weights'!$A:$A,A40))</f>
        <v/>
      </c>
      <c r="AH40" s="12">
        <f>IF(A40="","",IF(COUNTIF($A$2:$A$1000,A40)&gt;1,"Duplicate Job ID",IF(AND(AG40&lt;&gt;100,AG40&lt;&gt;0),"Weights must total 100",IF(Z40-Y40&lt;7,"Closing date must be 7+ days after opening","OK"))))</f>
        <v/>
      </c>
    </row>
    <row r="41">
      <c r="Y41" s="13" t="n"/>
      <c r="Z41" s="13" t="n"/>
      <c r="AF41" s="13" t="n"/>
      <c r="AG41" s="12">
        <f>IF(A41="","",SUMIFS('Assessment Weights'!$D:$D,'Assessment Weights'!$A:$A,A41))</f>
        <v/>
      </c>
      <c r="AH41" s="12">
        <f>IF(A41="","",IF(COUNTIF($A$2:$A$1000,A41)&gt;1,"Duplicate Job ID",IF(AND(AG41&lt;&gt;100,AG41&lt;&gt;0),"Weights must total 100",IF(Z41-Y41&lt;7,"Closing date must be 7+ days after opening","OK"))))</f>
        <v/>
      </c>
    </row>
    <row r="42">
      <c r="Y42" s="13" t="n"/>
      <c r="Z42" s="13" t="n"/>
      <c r="AF42" s="13" t="n"/>
      <c r="AG42" s="12">
        <f>IF(A42="","",SUMIFS('Assessment Weights'!$D:$D,'Assessment Weights'!$A:$A,A42))</f>
        <v/>
      </c>
      <c r="AH42" s="12">
        <f>IF(A42="","",IF(COUNTIF($A$2:$A$1000,A42)&gt;1,"Duplicate Job ID",IF(AND(AG42&lt;&gt;100,AG42&lt;&gt;0),"Weights must total 100",IF(Z42-Y42&lt;7,"Closing date must be 7+ days after opening","OK"))))</f>
        <v/>
      </c>
    </row>
    <row r="43">
      <c r="Y43" s="13" t="n"/>
      <c r="Z43" s="13" t="n"/>
      <c r="AF43" s="13" t="n"/>
      <c r="AG43" s="12">
        <f>IF(A43="","",SUMIFS('Assessment Weights'!$D:$D,'Assessment Weights'!$A:$A,A43))</f>
        <v/>
      </c>
      <c r="AH43" s="12">
        <f>IF(A43="","",IF(COUNTIF($A$2:$A$1000,A43)&gt;1,"Duplicate Job ID",IF(AND(AG43&lt;&gt;100,AG43&lt;&gt;0),"Weights must total 100",IF(Z43-Y43&lt;7,"Closing date must be 7+ days after opening","OK"))))</f>
        <v/>
      </c>
    </row>
    <row r="44">
      <c r="Y44" s="13" t="n"/>
      <c r="Z44" s="13" t="n"/>
      <c r="AF44" s="13" t="n"/>
      <c r="AG44" s="12">
        <f>IF(A44="","",SUMIFS('Assessment Weights'!$D:$D,'Assessment Weights'!$A:$A,A44))</f>
        <v/>
      </c>
      <c r="AH44" s="12">
        <f>IF(A44="","",IF(COUNTIF($A$2:$A$1000,A44)&gt;1,"Duplicate Job ID",IF(AND(AG44&lt;&gt;100,AG44&lt;&gt;0),"Weights must total 100",IF(Z44-Y44&lt;7,"Closing date must be 7+ days after opening","OK"))))</f>
        <v/>
      </c>
    </row>
    <row r="45">
      <c r="Y45" s="13" t="n"/>
      <c r="Z45" s="13" t="n"/>
      <c r="AF45" s="13" t="n"/>
      <c r="AG45" s="12">
        <f>IF(A45="","",SUMIFS('Assessment Weights'!$D:$D,'Assessment Weights'!$A:$A,A45))</f>
        <v/>
      </c>
      <c r="AH45" s="12">
        <f>IF(A45="","",IF(COUNTIF($A$2:$A$1000,A45)&gt;1,"Duplicate Job ID",IF(AND(AG45&lt;&gt;100,AG45&lt;&gt;0),"Weights must total 100",IF(Z45-Y45&lt;7,"Closing date must be 7+ days after opening","OK"))))</f>
        <v/>
      </c>
    </row>
    <row r="46">
      <c r="Y46" s="13" t="n"/>
      <c r="Z46" s="13" t="n"/>
      <c r="AF46" s="13" t="n"/>
      <c r="AG46" s="12">
        <f>IF(A46="","",SUMIFS('Assessment Weights'!$D:$D,'Assessment Weights'!$A:$A,A46))</f>
        <v/>
      </c>
      <c r="AH46" s="12">
        <f>IF(A46="","",IF(COUNTIF($A$2:$A$1000,A46)&gt;1,"Duplicate Job ID",IF(AND(AG46&lt;&gt;100,AG46&lt;&gt;0),"Weights must total 100",IF(Z46-Y46&lt;7,"Closing date must be 7+ days after opening","OK"))))</f>
        <v/>
      </c>
    </row>
    <row r="47">
      <c r="Y47" s="13" t="n"/>
      <c r="Z47" s="13" t="n"/>
      <c r="AF47" s="13" t="n"/>
      <c r="AG47" s="12">
        <f>IF(A47="","",SUMIFS('Assessment Weights'!$D:$D,'Assessment Weights'!$A:$A,A47))</f>
        <v/>
      </c>
      <c r="AH47" s="12">
        <f>IF(A47="","",IF(COUNTIF($A$2:$A$1000,A47)&gt;1,"Duplicate Job ID",IF(AND(AG47&lt;&gt;100,AG47&lt;&gt;0),"Weights must total 100",IF(Z47-Y47&lt;7,"Closing date must be 7+ days after opening","OK"))))</f>
        <v/>
      </c>
    </row>
    <row r="48">
      <c r="Y48" s="13" t="n"/>
      <c r="Z48" s="13" t="n"/>
      <c r="AF48" s="13" t="n"/>
      <c r="AG48" s="12">
        <f>IF(A48="","",SUMIFS('Assessment Weights'!$D:$D,'Assessment Weights'!$A:$A,A48))</f>
        <v/>
      </c>
      <c r="AH48" s="12">
        <f>IF(A48="","",IF(COUNTIF($A$2:$A$1000,A48)&gt;1,"Duplicate Job ID",IF(AND(AG48&lt;&gt;100,AG48&lt;&gt;0),"Weights must total 100",IF(Z48-Y48&lt;7,"Closing date must be 7+ days after opening","OK"))))</f>
        <v/>
      </c>
    </row>
    <row r="49">
      <c r="Y49" s="13" t="n"/>
      <c r="Z49" s="13" t="n"/>
      <c r="AF49" s="13" t="n"/>
      <c r="AG49" s="12">
        <f>IF(A49="","",SUMIFS('Assessment Weights'!$D:$D,'Assessment Weights'!$A:$A,A49))</f>
        <v/>
      </c>
      <c r="AH49" s="12">
        <f>IF(A49="","",IF(COUNTIF($A$2:$A$1000,A49)&gt;1,"Duplicate Job ID",IF(AND(AG49&lt;&gt;100,AG49&lt;&gt;0),"Weights must total 100",IF(Z49-Y49&lt;7,"Closing date must be 7+ days after opening","OK"))))</f>
        <v/>
      </c>
    </row>
    <row r="50">
      <c r="Y50" s="13" t="n"/>
      <c r="Z50" s="13" t="n"/>
      <c r="AF50" s="13" t="n"/>
      <c r="AG50" s="12">
        <f>IF(A50="","",SUMIFS('Assessment Weights'!$D:$D,'Assessment Weights'!$A:$A,A50))</f>
        <v/>
      </c>
      <c r="AH50" s="12">
        <f>IF(A50="","",IF(COUNTIF($A$2:$A$1000,A50)&gt;1,"Duplicate Job ID",IF(AND(AG50&lt;&gt;100,AG50&lt;&gt;0),"Weights must total 100",IF(Z50-Y50&lt;7,"Closing date must be 7+ days after opening","OK"))))</f>
        <v/>
      </c>
    </row>
    <row r="51">
      <c r="Y51" s="13" t="n"/>
      <c r="Z51" s="13" t="n"/>
      <c r="AF51" s="13" t="n"/>
      <c r="AG51" s="12">
        <f>IF(A51="","",SUMIFS('Assessment Weights'!$D:$D,'Assessment Weights'!$A:$A,A51))</f>
        <v/>
      </c>
      <c r="AH51" s="12">
        <f>IF(A51="","",IF(COUNTIF($A$2:$A$1000,A51)&gt;1,"Duplicate Job ID",IF(AND(AG51&lt;&gt;100,AG51&lt;&gt;0),"Weights must total 100",IF(Z51-Y51&lt;7,"Closing date must be 7+ days after opening","OK"))))</f>
        <v/>
      </c>
    </row>
    <row r="52">
      <c r="Y52" s="13" t="n"/>
      <c r="Z52" s="13" t="n"/>
      <c r="AF52" s="13" t="n"/>
      <c r="AG52" s="12">
        <f>IF(A52="","",SUMIFS('Assessment Weights'!$D:$D,'Assessment Weights'!$A:$A,A52))</f>
        <v/>
      </c>
      <c r="AH52" s="12">
        <f>IF(A52="","",IF(COUNTIF($A$2:$A$1000,A52)&gt;1,"Duplicate Job ID",IF(AND(AG52&lt;&gt;100,AG52&lt;&gt;0),"Weights must total 100",IF(Z52-Y52&lt;7,"Closing date must be 7+ days after opening","OK"))))</f>
        <v/>
      </c>
    </row>
    <row r="53">
      <c r="Y53" s="13" t="n"/>
      <c r="Z53" s="13" t="n"/>
      <c r="AF53" s="13" t="n"/>
      <c r="AG53" s="12">
        <f>IF(A53="","",SUMIFS('Assessment Weights'!$D:$D,'Assessment Weights'!$A:$A,A53))</f>
        <v/>
      </c>
      <c r="AH53" s="12">
        <f>IF(A53="","",IF(COUNTIF($A$2:$A$1000,A53)&gt;1,"Duplicate Job ID",IF(AND(AG53&lt;&gt;100,AG53&lt;&gt;0),"Weights must total 100",IF(Z53-Y53&lt;7,"Closing date must be 7+ days after opening","OK"))))</f>
        <v/>
      </c>
    </row>
    <row r="54">
      <c r="Y54" s="13" t="n"/>
      <c r="Z54" s="13" t="n"/>
      <c r="AF54" s="13" t="n"/>
      <c r="AG54" s="12">
        <f>IF(A54="","",SUMIFS('Assessment Weights'!$D:$D,'Assessment Weights'!$A:$A,A54))</f>
        <v/>
      </c>
      <c r="AH54" s="12">
        <f>IF(A54="","",IF(COUNTIF($A$2:$A$1000,A54)&gt;1,"Duplicate Job ID",IF(AND(AG54&lt;&gt;100,AG54&lt;&gt;0),"Weights must total 100",IF(Z54-Y54&lt;7,"Closing date must be 7+ days after opening","OK"))))</f>
        <v/>
      </c>
    </row>
    <row r="55">
      <c r="Y55" s="13" t="n"/>
      <c r="Z55" s="13" t="n"/>
      <c r="AF55" s="13" t="n"/>
      <c r="AG55" s="12">
        <f>IF(A55="","",SUMIFS('Assessment Weights'!$D:$D,'Assessment Weights'!$A:$A,A55))</f>
        <v/>
      </c>
      <c r="AH55" s="12">
        <f>IF(A55="","",IF(COUNTIF($A$2:$A$1000,A55)&gt;1,"Duplicate Job ID",IF(AND(AG55&lt;&gt;100,AG55&lt;&gt;0),"Weights must total 100",IF(Z55-Y55&lt;7,"Closing date must be 7+ days after opening","OK"))))</f>
        <v/>
      </c>
    </row>
    <row r="56">
      <c r="Y56" s="13" t="n"/>
      <c r="Z56" s="13" t="n"/>
      <c r="AF56" s="13" t="n"/>
      <c r="AG56" s="12">
        <f>IF(A56="","",SUMIFS('Assessment Weights'!$D:$D,'Assessment Weights'!$A:$A,A56))</f>
        <v/>
      </c>
      <c r="AH56" s="12">
        <f>IF(A56="","",IF(COUNTIF($A$2:$A$1000,A56)&gt;1,"Duplicate Job ID",IF(AND(AG56&lt;&gt;100,AG56&lt;&gt;0),"Weights must total 100",IF(Z56-Y56&lt;7,"Closing date must be 7+ days after opening","OK"))))</f>
        <v/>
      </c>
    </row>
    <row r="57">
      <c r="Y57" s="13" t="n"/>
      <c r="Z57" s="13" t="n"/>
      <c r="AF57" s="13" t="n"/>
      <c r="AG57" s="12">
        <f>IF(A57="","",SUMIFS('Assessment Weights'!$D:$D,'Assessment Weights'!$A:$A,A57))</f>
        <v/>
      </c>
      <c r="AH57" s="12">
        <f>IF(A57="","",IF(COUNTIF($A$2:$A$1000,A57)&gt;1,"Duplicate Job ID",IF(AND(AG57&lt;&gt;100,AG57&lt;&gt;0),"Weights must total 100",IF(Z57-Y57&lt;7,"Closing date must be 7+ days after opening","OK"))))</f>
        <v/>
      </c>
    </row>
    <row r="58">
      <c r="Y58" s="13" t="n"/>
      <c r="Z58" s="13" t="n"/>
      <c r="AF58" s="13" t="n"/>
      <c r="AG58" s="12">
        <f>IF(A58="","",SUMIFS('Assessment Weights'!$D:$D,'Assessment Weights'!$A:$A,A58))</f>
        <v/>
      </c>
      <c r="AH58" s="12">
        <f>IF(A58="","",IF(COUNTIF($A$2:$A$1000,A58)&gt;1,"Duplicate Job ID",IF(AND(AG58&lt;&gt;100,AG58&lt;&gt;0),"Weights must total 100",IF(Z58-Y58&lt;7,"Closing date must be 7+ days after opening","OK"))))</f>
        <v/>
      </c>
    </row>
    <row r="59">
      <c r="Y59" s="13" t="n"/>
      <c r="Z59" s="13" t="n"/>
      <c r="AF59" s="13" t="n"/>
      <c r="AG59" s="12">
        <f>IF(A59="","",SUMIFS('Assessment Weights'!$D:$D,'Assessment Weights'!$A:$A,A59))</f>
        <v/>
      </c>
      <c r="AH59" s="12">
        <f>IF(A59="","",IF(COUNTIF($A$2:$A$1000,A59)&gt;1,"Duplicate Job ID",IF(AND(AG59&lt;&gt;100,AG59&lt;&gt;0),"Weights must total 100",IF(Z59-Y59&lt;7,"Closing date must be 7+ days after opening","OK"))))</f>
        <v/>
      </c>
    </row>
    <row r="60">
      <c r="Y60" s="13" t="n"/>
      <c r="Z60" s="13" t="n"/>
      <c r="AF60" s="13" t="n"/>
      <c r="AG60" s="12">
        <f>IF(A60="","",SUMIFS('Assessment Weights'!$D:$D,'Assessment Weights'!$A:$A,A60))</f>
        <v/>
      </c>
      <c r="AH60" s="12">
        <f>IF(A60="","",IF(COUNTIF($A$2:$A$1000,A60)&gt;1,"Duplicate Job ID",IF(AND(AG60&lt;&gt;100,AG60&lt;&gt;0),"Weights must total 100",IF(Z60-Y60&lt;7,"Closing date must be 7+ days after opening","OK"))))</f>
        <v/>
      </c>
    </row>
    <row r="61">
      <c r="Y61" s="13" t="n"/>
      <c r="Z61" s="13" t="n"/>
      <c r="AF61" s="13" t="n"/>
      <c r="AG61" s="12">
        <f>IF(A61="","",SUMIFS('Assessment Weights'!$D:$D,'Assessment Weights'!$A:$A,A61))</f>
        <v/>
      </c>
      <c r="AH61" s="12">
        <f>IF(A61="","",IF(COUNTIF($A$2:$A$1000,A61)&gt;1,"Duplicate Job ID",IF(AND(AG61&lt;&gt;100,AG61&lt;&gt;0),"Weights must total 100",IF(Z61-Y61&lt;7,"Closing date must be 7+ days after opening","OK"))))</f>
        <v/>
      </c>
    </row>
    <row r="62">
      <c r="Y62" s="13" t="n"/>
      <c r="Z62" s="13" t="n"/>
      <c r="AF62" s="13" t="n"/>
      <c r="AG62" s="12">
        <f>IF(A62="","",SUMIFS('Assessment Weights'!$D:$D,'Assessment Weights'!$A:$A,A62))</f>
        <v/>
      </c>
      <c r="AH62" s="12">
        <f>IF(A62="","",IF(COUNTIF($A$2:$A$1000,A62)&gt;1,"Duplicate Job ID",IF(AND(AG62&lt;&gt;100,AG62&lt;&gt;0),"Weights must total 100",IF(Z62-Y62&lt;7,"Closing date must be 7+ days after opening","OK"))))</f>
        <v/>
      </c>
    </row>
    <row r="63">
      <c r="Y63" s="13" t="n"/>
      <c r="Z63" s="13" t="n"/>
      <c r="AF63" s="13" t="n"/>
      <c r="AG63" s="12">
        <f>IF(A63="","",SUMIFS('Assessment Weights'!$D:$D,'Assessment Weights'!$A:$A,A63))</f>
        <v/>
      </c>
      <c r="AH63" s="12">
        <f>IF(A63="","",IF(COUNTIF($A$2:$A$1000,A63)&gt;1,"Duplicate Job ID",IF(AND(AG63&lt;&gt;100,AG63&lt;&gt;0),"Weights must total 100",IF(Z63-Y63&lt;7,"Closing date must be 7+ days after opening","OK"))))</f>
        <v/>
      </c>
    </row>
    <row r="64">
      <c r="Y64" s="13" t="n"/>
      <c r="Z64" s="13" t="n"/>
      <c r="AF64" s="13" t="n"/>
      <c r="AG64" s="12">
        <f>IF(A64="","",SUMIFS('Assessment Weights'!$D:$D,'Assessment Weights'!$A:$A,A64))</f>
        <v/>
      </c>
      <c r="AH64" s="12">
        <f>IF(A64="","",IF(COUNTIF($A$2:$A$1000,A64)&gt;1,"Duplicate Job ID",IF(AND(AG64&lt;&gt;100,AG64&lt;&gt;0),"Weights must total 100",IF(Z64-Y64&lt;7,"Closing date must be 7+ days after opening","OK"))))</f>
        <v/>
      </c>
    </row>
    <row r="65">
      <c r="Y65" s="13" t="n"/>
      <c r="Z65" s="13" t="n"/>
      <c r="AF65" s="13" t="n"/>
      <c r="AG65" s="12">
        <f>IF(A65="","",SUMIFS('Assessment Weights'!$D:$D,'Assessment Weights'!$A:$A,A65))</f>
        <v/>
      </c>
      <c r="AH65" s="12">
        <f>IF(A65="","",IF(COUNTIF($A$2:$A$1000,A65)&gt;1,"Duplicate Job ID",IF(AND(AG65&lt;&gt;100,AG65&lt;&gt;0),"Weights must total 100",IF(Z65-Y65&lt;7,"Closing date must be 7+ days after opening","OK"))))</f>
        <v/>
      </c>
    </row>
    <row r="66">
      <c r="Y66" s="13" t="n"/>
      <c r="Z66" s="13" t="n"/>
      <c r="AF66" s="13" t="n"/>
      <c r="AG66" s="12">
        <f>IF(A66="","",SUMIFS('Assessment Weights'!$D:$D,'Assessment Weights'!$A:$A,A66))</f>
        <v/>
      </c>
      <c r="AH66" s="12">
        <f>IF(A66="","",IF(COUNTIF($A$2:$A$1000,A66)&gt;1,"Duplicate Job ID",IF(AND(AG66&lt;&gt;100,AG66&lt;&gt;0),"Weights must total 100",IF(Z66-Y66&lt;7,"Closing date must be 7+ days after opening","OK"))))</f>
        <v/>
      </c>
    </row>
    <row r="67">
      <c r="Y67" s="13" t="n"/>
      <c r="Z67" s="13" t="n"/>
      <c r="AF67" s="13" t="n"/>
      <c r="AG67" s="12">
        <f>IF(A67="","",SUMIFS('Assessment Weights'!$D:$D,'Assessment Weights'!$A:$A,A67))</f>
        <v/>
      </c>
      <c r="AH67" s="12">
        <f>IF(A67="","",IF(COUNTIF($A$2:$A$1000,A67)&gt;1,"Duplicate Job ID",IF(AND(AG67&lt;&gt;100,AG67&lt;&gt;0),"Weights must total 100",IF(Z67-Y67&lt;7,"Closing date must be 7+ days after opening","OK"))))</f>
        <v/>
      </c>
    </row>
    <row r="68">
      <c r="Y68" s="13" t="n"/>
      <c r="Z68" s="13" t="n"/>
      <c r="AF68" s="13" t="n"/>
      <c r="AG68" s="12">
        <f>IF(A68="","",SUMIFS('Assessment Weights'!$D:$D,'Assessment Weights'!$A:$A,A68))</f>
        <v/>
      </c>
      <c r="AH68" s="12">
        <f>IF(A68="","",IF(COUNTIF($A$2:$A$1000,A68)&gt;1,"Duplicate Job ID",IF(AND(AG68&lt;&gt;100,AG68&lt;&gt;0),"Weights must total 100",IF(Z68-Y68&lt;7,"Closing date must be 7+ days after opening","OK"))))</f>
        <v/>
      </c>
    </row>
    <row r="69">
      <c r="Y69" s="13" t="n"/>
      <c r="Z69" s="13" t="n"/>
      <c r="AF69" s="13" t="n"/>
      <c r="AG69" s="12">
        <f>IF(A69="","",SUMIFS('Assessment Weights'!$D:$D,'Assessment Weights'!$A:$A,A69))</f>
        <v/>
      </c>
      <c r="AH69" s="12">
        <f>IF(A69="","",IF(COUNTIF($A$2:$A$1000,A69)&gt;1,"Duplicate Job ID",IF(AND(AG69&lt;&gt;100,AG69&lt;&gt;0),"Weights must total 100",IF(Z69-Y69&lt;7,"Closing date must be 7+ days after opening","OK"))))</f>
        <v/>
      </c>
    </row>
    <row r="70">
      <c r="Y70" s="13" t="n"/>
      <c r="Z70" s="13" t="n"/>
      <c r="AF70" s="13" t="n"/>
      <c r="AG70" s="12">
        <f>IF(A70="","",SUMIFS('Assessment Weights'!$D:$D,'Assessment Weights'!$A:$A,A70))</f>
        <v/>
      </c>
      <c r="AH70" s="12">
        <f>IF(A70="","",IF(COUNTIF($A$2:$A$1000,A70)&gt;1,"Duplicate Job ID",IF(AND(AG70&lt;&gt;100,AG70&lt;&gt;0),"Weights must total 100",IF(Z70-Y70&lt;7,"Closing date must be 7+ days after opening","OK"))))</f>
        <v/>
      </c>
    </row>
    <row r="71">
      <c r="Y71" s="13" t="n"/>
      <c r="Z71" s="13" t="n"/>
      <c r="AF71" s="13" t="n"/>
      <c r="AG71" s="12">
        <f>IF(A71="","",SUMIFS('Assessment Weights'!$D:$D,'Assessment Weights'!$A:$A,A71))</f>
        <v/>
      </c>
      <c r="AH71" s="12">
        <f>IF(A71="","",IF(COUNTIF($A$2:$A$1000,A71)&gt;1,"Duplicate Job ID",IF(AND(AG71&lt;&gt;100,AG71&lt;&gt;0),"Weights must total 100",IF(Z71-Y71&lt;7,"Closing date must be 7+ days after opening","OK"))))</f>
        <v/>
      </c>
    </row>
    <row r="72">
      <c r="Y72" s="13" t="n"/>
      <c r="Z72" s="13" t="n"/>
      <c r="AF72" s="13" t="n"/>
      <c r="AG72" s="12">
        <f>IF(A72="","",SUMIFS('Assessment Weights'!$D:$D,'Assessment Weights'!$A:$A,A72))</f>
        <v/>
      </c>
      <c r="AH72" s="12">
        <f>IF(A72="","",IF(COUNTIF($A$2:$A$1000,A72)&gt;1,"Duplicate Job ID",IF(AND(AG72&lt;&gt;100,AG72&lt;&gt;0),"Weights must total 100",IF(Z72-Y72&lt;7,"Closing date must be 7+ days after opening","OK"))))</f>
        <v/>
      </c>
    </row>
    <row r="73">
      <c r="Y73" s="13" t="n"/>
      <c r="Z73" s="13" t="n"/>
      <c r="AF73" s="13" t="n"/>
      <c r="AG73" s="12">
        <f>IF(A73="","",SUMIFS('Assessment Weights'!$D:$D,'Assessment Weights'!$A:$A,A73))</f>
        <v/>
      </c>
      <c r="AH73" s="12">
        <f>IF(A73="","",IF(COUNTIF($A$2:$A$1000,A73)&gt;1,"Duplicate Job ID",IF(AND(AG73&lt;&gt;100,AG73&lt;&gt;0),"Weights must total 100",IF(Z73-Y73&lt;7,"Closing date must be 7+ days after opening","OK"))))</f>
        <v/>
      </c>
    </row>
    <row r="74">
      <c r="Y74" s="13" t="n"/>
      <c r="Z74" s="13" t="n"/>
      <c r="AF74" s="13" t="n"/>
      <c r="AG74" s="12">
        <f>IF(A74="","",SUMIFS('Assessment Weights'!$D:$D,'Assessment Weights'!$A:$A,A74))</f>
        <v/>
      </c>
      <c r="AH74" s="12">
        <f>IF(A74="","",IF(COUNTIF($A$2:$A$1000,A74)&gt;1,"Duplicate Job ID",IF(AND(AG74&lt;&gt;100,AG74&lt;&gt;0),"Weights must total 100",IF(Z74-Y74&lt;7,"Closing date must be 7+ days after opening","OK"))))</f>
        <v/>
      </c>
    </row>
    <row r="75">
      <c r="Y75" s="13" t="n"/>
      <c r="Z75" s="13" t="n"/>
      <c r="AF75" s="13" t="n"/>
      <c r="AG75" s="12">
        <f>IF(A75="","",SUMIFS('Assessment Weights'!$D:$D,'Assessment Weights'!$A:$A,A75))</f>
        <v/>
      </c>
      <c r="AH75" s="12">
        <f>IF(A75="","",IF(COUNTIF($A$2:$A$1000,A75)&gt;1,"Duplicate Job ID",IF(AND(AG75&lt;&gt;100,AG75&lt;&gt;0),"Weights must total 100",IF(Z75-Y75&lt;7,"Closing date must be 7+ days after opening","OK"))))</f>
        <v/>
      </c>
    </row>
    <row r="76">
      <c r="Y76" s="13" t="n"/>
      <c r="Z76" s="13" t="n"/>
      <c r="AF76" s="13" t="n"/>
      <c r="AG76" s="12">
        <f>IF(A76="","",SUMIFS('Assessment Weights'!$D:$D,'Assessment Weights'!$A:$A,A76))</f>
        <v/>
      </c>
      <c r="AH76" s="12">
        <f>IF(A76="","",IF(COUNTIF($A$2:$A$1000,A76)&gt;1,"Duplicate Job ID",IF(AND(AG76&lt;&gt;100,AG76&lt;&gt;0),"Weights must total 100",IF(Z76-Y76&lt;7,"Closing date must be 7+ days after opening","OK"))))</f>
        <v/>
      </c>
    </row>
    <row r="77">
      <c r="Y77" s="13" t="n"/>
      <c r="Z77" s="13" t="n"/>
      <c r="AF77" s="13" t="n"/>
      <c r="AG77" s="12">
        <f>IF(A77="","",SUMIFS('Assessment Weights'!$D:$D,'Assessment Weights'!$A:$A,A77))</f>
        <v/>
      </c>
      <c r="AH77" s="12">
        <f>IF(A77="","",IF(COUNTIF($A$2:$A$1000,A77)&gt;1,"Duplicate Job ID",IF(AND(AG77&lt;&gt;100,AG77&lt;&gt;0),"Weights must total 100",IF(Z77-Y77&lt;7,"Closing date must be 7+ days after opening","OK"))))</f>
        <v/>
      </c>
    </row>
    <row r="78">
      <c r="Y78" s="13" t="n"/>
      <c r="Z78" s="13" t="n"/>
      <c r="AF78" s="13" t="n"/>
      <c r="AG78" s="12">
        <f>IF(A78="","",SUMIFS('Assessment Weights'!$D:$D,'Assessment Weights'!$A:$A,A78))</f>
        <v/>
      </c>
      <c r="AH78" s="12">
        <f>IF(A78="","",IF(COUNTIF($A$2:$A$1000,A78)&gt;1,"Duplicate Job ID",IF(AND(AG78&lt;&gt;100,AG78&lt;&gt;0),"Weights must total 100",IF(Z78-Y78&lt;7,"Closing date must be 7+ days after opening","OK"))))</f>
        <v/>
      </c>
    </row>
    <row r="79">
      <c r="Y79" s="13" t="n"/>
      <c r="Z79" s="13" t="n"/>
      <c r="AF79" s="13" t="n"/>
      <c r="AG79" s="12">
        <f>IF(A79="","",SUMIFS('Assessment Weights'!$D:$D,'Assessment Weights'!$A:$A,A79))</f>
        <v/>
      </c>
      <c r="AH79" s="12">
        <f>IF(A79="","",IF(COUNTIF($A$2:$A$1000,A79)&gt;1,"Duplicate Job ID",IF(AND(AG79&lt;&gt;100,AG79&lt;&gt;0),"Weights must total 100",IF(Z79-Y79&lt;7,"Closing date must be 7+ days after opening","OK"))))</f>
        <v/>
      </c>
    </row>
    <row r="80">
      <c r="Y80" s="13" t="n"/>
      <c r="Z80" s="13" t="n"/>
      <c r="AF80" s="13" t="n"/>
      <c r="AG80" s="12">
        <f>IF(A80="","",SUMIFS('Assessment Weights'!$D:$D,'Assessment Weights'!$A:$A,A80))</f>
        <v/>
      </c>
      <c r="AH80" s="12">
        <f>IF(A80="","",IF(COUNTIF($A$2:$A$1000,A80)&gt;1,"Duplicate Job ID",IF(AND(AG80&lt;&gt;100,AG80&lt;&gt;0),"Weights must total 100",IF(Z80-Y80&lt;7,"Closing date must be 7+ days after opening","OK"))))</f>
        <v/>
      </c>
    </row>
    <row r="81">
      <c r="Y81" s="13" t="n"/>
      <c r="Z81" s="13" t="n"/>
      <c r="AF81" s="13" t="n"/>
      <c r="AG81" s="12">
        <f>IF(A81="","",SUMIFS('Assessment Weights'!$D:$D,'Assessment Weights'!$A:$A,A81))</f>
        <v/>
      </c>
      <c r="AH81" s="12">
        <f>IF(A81="","",IF(COUNTIF($A$2:$A$1000,A81)&gt;1,"Duplicate Job ID",IF(AND(AG81&lt;&gt;100,AG81&lt;&gt;0),"Weights must total 100",IF(Z81-Y81&lt;7,"Closing date must be 7+ days after opening","OK"))))</f>
        <v/>
      </c>
    </row>
    <row r="82">
      <c r="Y82" s="13" t="n"/>
      <c r="Z82" s="13" t="n"/>
      <c r="AF82" s="13" t="n"/>
      <c r="AG82" s="12">
        <f>IF(A82="","",SUMIFS('Assessment Weights'!$D:$D,'Assessment Weights'!$A:$A,A82))</f>
        <v/>
      </c>
      <c r="AH82" s="12">
        <f>IF(A82="","",IF(COUNTIF($A$2:$A$1000,A82)&gt;1,"Duplicate Job ID",IF(AND(AG82&lt;&gt;100,AG82&lt;&gt;0),"Weights must total 100",IF(Z82-Y82&lt;7,"Closing date must be 7+ days after opening","OK"))))</f>
        <v/>
      </c>
    </row>
    <row r="83">
      <c r="Y83" s="13" t="n"/>
      <c r="Z83" s="13" t="n"/>
      <c r="AF83" s="13" t="n"/>
      <c r="AG83" s="12">
        <f>IF(A83="","",SUMIFS('Assessment Weights'!$D:$D,'Assessment Weights'!$A:$A,A83))</f>
        <v/>
      </c>
      <c r="AH83" s="12">
        <f>IF(A83="","",IF(COUNTIF($A$2:$A$1000,A83)&gt;1,"Duplicate Job ID",IF(AND(AG83&lt;&gt;100,AG83&lt;&gt;0),"Weights must total 100",IF(Z83-Y83&lt;7,"Closing date must be 7+ days after opening","OK"))))</f>
        <v/>
      </c>
    </row>
    <row r="84">
      <c r="Y84" s="13" t="n"/>
      <c r="Z84" s="13" t="n"/>
      <c r="AF84" s="13" t="n"/>
      <c r="AG84" s="12">
        <f>IF(A84="","",SUMIFS('Assessment Weights'!$D:$D,'Assessment Weights'!$A:$A,A84))</f>
        <v/>
      </c>
      <c r="AH84" s="12">
        <f>IF(A84="","",IF(COUNTIF($A$2:$A$1000,A84)&gt;1,"Duplicate Job ID",IF(AND(AG84&lt;&gt;100,AG84&lt;&gt;0),"Weights must total 100",IF(Z84-Y84&lt;7,"Closing date must be 7+ days after opening","OK"))))</f>
        <v/>
      </c>
    </row>
    <row r="85">
      <c r="Y85" s="13" t="n"/>
      <c r="Z85" s="13" t="n"/>
      <c r="AF85" s="13" t="n"/>
      <c r="AG85" s="12">
        <f>IF(A85="","",SUMIFS('Assessment Weights'!$D:$D,'Assessment Weights'!$A:$A,A85))</f>
        <v/>
      </c>
      <c r="AH85" s="12">
        <f>IF(A85="","",IF(COUNTIF($A$2:$A$1000,A85)&gt;1,"Duplicate Job ID",IF(AND(AG85&lt;&gt;100,AG85&lt;&gt;0),"Weights must total 100",IF(Z85-Y85&lt;7,"Closing date must be 7+ days after opening","OK"))))</f>
        <v/>
      </c>
    </row>
    <row r="86">
      <c r="Y86" s="13" t="n"/>
      <c r="Z86" s="13" t="n"/>
      <c r="AF86" s="13" t="n"/>
      <c r="AG86" s="12">
        <f>IF(A86="","",SUMIFS('Assessment Weights'!$D:$D,'Assessment Weights'!$A:$A,A86))</f>
        <v/>
      </c>
      <c r="AH86" s="12">
        <f>IF(A86="","",IF(COUNTIF($A$2:$A$1000,A86)&gt;1,"Duplicate Job ID",IF(AND(AG86&lt;&gt;100,AG86&lt;&gt;0),"Weights must total 100",IF(Z86-Y86&lt;7,"Closing date must be 7+ days after opening","OK"))))</f>
        <v/>
      </c>
    </row>
    <row r="87">
      <c r="Y87" s="13" t="n"/>
      <c r="Z87" s="13" t="n"/>
      <c r="AF87" s="13" t="n"/>
      <c r="AG87" s="12">
        <f>IF(A87="","",SUMIFS('Assessment Weights'!$D:$D,'Assessment Weights'!$A:$A,A87))</f>
        <v/>
      </c>
      <c r="AH87" s="12">
        <f>IF(A87="","",IF(COUNTIF($A$2:$A$1000,A87)&gt;1,"Duplicate Job ID",IF(AND(AG87&lt;&gt;100,AG87&lt;&gt;0),"Weights must total 100",IF(Z87-Y87&lt;7,"Closing date must be 7+ days after opening","OK"))))</f>
        <v/>
      </c>
    </row>
    <row r="88">
      <c r="Y88" s="13" t="n"/>
      <c r="Z88" s="13" t="n"/>
      <c r="AF88" s="13" t="n"/>
      <c r="AG88" s="12">
        <f>IF(A88="","",SUMIFS('Assessment Weights'!$D:$D,'Assessment Weights'!$A:$A,A88))</f>
        <v/>
      </c>
      <c r="AH88" s="12">
        <f>IF(A88="","",IF(COUNTIF($A$2:$A$1000,A88)&gt;1,"Duplicate Job ID",IF(AND(AG88&lt;&gt;100,AG88&lt;&gt;0),"Weights must total 100",IF(Z88-Y88&lt;7,"Closing date must be 7+ days after opening","OK"))))</f>
        <v/>
      </c>
    </row>
    <row r="89">
      <c r="Y89" s="13" t="n"/>
      <c r="Z89" s="13" t="n"/>
      <c r="AF89" s="13" t="n"/>
      <c r="AG89" s="12">
        <f>IF(A89="","",SUMIFS('Assessment Weights'!$D:$D,'Assessment Weights'!$A:$A,A89))</f>
        <v/>
      </c>
      <c r="AH89" s="12">
        <f>IF(A89="","",IF(COUNTIF($A$2:$A$1000,A89)&gt;1,"Duplicate Job ID",IF(AND(AG89&lt;&gt;100,AG89&lt;&gt;0),"Weights must total 100",IF(Z89-Y89&lt;7,"Closing date must be 7+ days after opening","OK"))))</f>
        <v/>
      </c>
    </row>
    <row r="90">
      <c r="Y90" s="13" t="n"/>
      <c r="Z90" s="13" t="n"/>
      <c r="AF90" s="13" t="n"/>
      <c r="AG90" s="12">
        <f>IF(A90="","",SUMIFS('Assessment Weights'!$D:$D,'Assessment Weights'!$A:$A,A90))</f>
        <v/>
      </c>
      <c r="AH90" s="12">
        <f>IF(A90="","",IF(COUNTIF($A$2:$A$1000,A90)&gt;1,"Duplicate Job ID",IF(AND(AG90&lt;&gt;100,AG90&lt;&gt;0),"Weights must total 100",IF(Z90-Y90&lt;7,"Closing date must be 7+ days after opening","OK"))))</f>
        <v/>
      </c>
    </row>
    <row r="91">
      <c r="Y91" s="13" t="n"/>
      <c r="Z91" s="13" t="n"/>
      <c r="AF91" s="13" t="n"/>
      <c r="AG91" s="12">
        <f>IF(A91="","",SUMIFS('Assessment Weights'!$D:$D,'Assessment Weights'!$A:$A,A91))</f>
        <v/>
      </c>
      <c r="AH91" s="12">
        <f>IF(A91="","",IF(COUNTIF($A$2:$A$1000,A91)&gt;1,"Duplicate Job ID",IF(AND(AG91&lt;&gt;100,AG91&lt;&gt;0),"Weights must total 100",IF(Z91-Y91&lt;7,"Closing date must be 7+ days after opening","OK"))))</f>
        <v/>
      </c>
    </row>
    <row r="92">
      <c r="Y92" s="13" t="n"/>
      <c r="Z92" s="13" t="n"/>
      <c r="AF92" s="13" t="n"/>
      <c r="AG92" s="12">
        <f>IF(A92="","",SUMIFS('Assessment Weights'!$D:$D,'Assessment Weights'!$A:$A,A92))</f>
        <v/>
      </c>
      <c r="AH92" s="12">
        <f>IF(A92="","",IF(COUNTIF($A$2:$A$1000,A92)&gt;1,"Duplicate Job ID",IF(AND(AG92&lt;&gt;100,AG92&lt;&gt;0),"Weights must total 100",IF(Z92-Y92&lt;7,"Closing date must be 7+ days after opening","OK"))))</f>
        <v/>
      </c>
    </row>
    <row r="93">
      <c r="Y93" s="13" t="n"/>
      <c r="Z93" s="13" t="n"/>
      <c r="AF93" s="13" t="n"/>
      <c r="AG93" s="12">
        <f>IF(A93="","",SUMIFS('Assessment Weights'!$D:$D,'Assessment Weights'!$A:$A,A93))</f>
        <v/>
      </c>
      <c r="AH93" s="12">
        <f>IF(A93="","",IF(COUNTIF($A$2:$A$1000,A93)&gt;1,"Duplicate Job ID",IF(AND(AG93&lt;&gt;100,AG93&lt;&gt;0),"Weights must total 100",IF(Z93-Y93&lt;7,"Closing date must be 7+ days after opening","OK"))))</f>
        <v/>
      </c>
    </row>
    <row r="94">
      <c r="Y94" s="13" t="n"/>
      <c r="Z94" s="13" t="n"/>
      <c r="AF94" s="13" t="n"/>
      <c r="AG94" s="12">
        <f>IF(A94="","",SUMIFS('Assessment Weights'!$D:$D,'Assessment Weights'!$A:$A,A94))</f>
        <v/>
      </c>
      <c r="AH94" s="12">
        <f>IF(A94="","",IF(COUNTIF($A$2:$A$1000,A94)&gt;1,"Duplicate Job ID",IF(AND(AG94&lt;&gt;100,AG94&lt;&gt;0),"Weights must total 100",IF(Z94-Y94&lt;7,"Closing date must be 7+ days after opening","OK"))))</f>
        <v/>
      </c>
    </row>
    <row r="95">
      <c r="Y95" s="13" t="n"/>
      <c r="Z95" s="13" t="n"/>
      <c r="AF95" s="13" t="n"/>
      <c r="AG95" s="12">
        <f>IF(A95="","",SUMIFS('Assessment Weights'!$D:$D,'Assessment Weights'!$A:$A,A95))</f>
        <v/>
      </c>
      <c r="AH95" s="12">
        <f>IF(A95="","",IF(COUNTIF($A$2:$A$1000,A95)&gt;1,"Duplicate Job ID",IF(AND(AG95&lt;&gt;100,AG95&lt;&gt;0),"Weights must total 100",IF(Z95-Y95&lt;7,"Closing date must be 7+ days after opening","OK"))))</f>
        <v/>
      </c>
    </row>
    <row r="96">
      <c r="Y96" s="13" t="n"/>
      <c r="Z96" s="13" t="n"/>
      <c r="AF96" s="13" t="n"/>
      <c r="AG96" s="12">
        <f>IF(A96="","",SUMIFS('Assessment Weights'!$D:$D,'Assessment Weights'!$A:$A,A96))</f>
        <v/>
      </c>
      <c r="AH96" s="12">
        <f>IF(A96="","",IF(COUNTIF($A$2:$A$1000,A96)&gt;1,"Duplicate Job ID",IF(AND(AG96&lt;&gt;100,AG96&lt;&gt;0),"Weights must total 100",IF(Z96-Y96&lt;7,"Closing date must be 7+ days after opening","OK"))))</f>
        <v/>
      </c>
    </row>
    <row r="97">
      <c r="Y97" s="13" t="n"/>
      <c r="Z97" s="13" t="n"/>
      <c r="AF97" s="13" t="n"/>
      <c r="AG97" s="12">
        <f>IF(A97="","",SUMIFS('Assessment Weights'!$D:$D,'Assessment Weights'!$A:$A,A97))</f>
        <v/>
      </c>
      <c r="AH97" s="12">
        <f>IF(A97="","",IF(COUNTIF($A$2:$A$1000,A97)&gt;1,"Duplicate Job ID",IF(AND(AG97&lt;&gt;100,AG97&lt;&gt;0),"Weights must total 100",IF(Z97-Y97&lt;7,"Closing date must be 7+ days after opening","OK"))))</f>
        <v/>
      </c>
    </row>
    <row r="98">
      <c r="Y98" s="13" t="n"/>
      <c r="Z98" s="13" t="n"/>
      <c r="AF98" s="13" t="n"/>
      <c r="AG98" s="12">
        <f>IF(A98="","",SUMIFS('Assessment Weights'!$D:$D,'Assessment Weights'!$A:$A,A98))</f>
        <v/>
      </c>
      <c r="AH98" s="12">
        <f>IF(A98="","",IF(COUNTIF($A$2:$A$1000,A98)&gt;1,"Duplicate Job ID",IF(AND(AG98&lt;&gt;100,AG98&lt;&gt;0),"Weights must total 100",IF(Z98-Y98&lt;7,"Closing date must be 7+ days after opening","OK"))))</f>
        <v/>
      </c>
    </row>
    <row r="99">
      <c r="Y99" s="13" t="n"/>
      <c r="Z99" s="13" t="n"/>
      <c r="AF99" s="13" t="n"/>
      <c r="AG99" s="12">
        <f>IF(A99="","",SUMIFS('Assessment Weights'!$D:$D,'Assessment Weights'!$A:$A,A99))</f>
        <v/>
      </c>
      <c r="AH99" s="12">
        <f>IF(A99="","",IF(COUNTIF($A$2:$A$1000,A99)&gt;1,"Duplicate Job ID",IF(AND(AG99&lt;&gt;100,AG99&lt;&gt;0),"Weights must total 100",IF(Z99-Y99&lt;7,"Closing date must be 7+ days after opening","OK"))))</f>
        <v/>
      </c>
    </row>
    <row r="100">
      <c r="Y100" s="13" t="n"/>
      <c r="Z100" s="13" t="n"/>
      <c r="AF100" s="13" t="n"/>
      <c r="AG100" s="12">
        <f>IF(A100="","",SUMIFS('Assessment Weights'!$D:$D,'Assessment Weights'!$A:$A,A100))</f>
        <v/>
      </c>
      <c r="AH100" s="12">
        <f>IF(A100="","",IF(COUNTIF($A$2:$A$1000,A100)&gt;1,"Duplicate Job ID",IF(AND(AG100&lt;&gt;100,AG100&lt;&gt;0),"Weights must total 100",IF(Z100-Y100&lt;7,"Closing date must be 7+ days after opening","OK"))))</f>
        <v/>
      </c>
    </row>
    <row r="101">
      <c r="Y101" s="13" t="n"/>
      <c r="Z101" s="13" t="n"/>
      <c r="AF101" s="13" t="n"/>
      <c r="AG101" s="12">
        <f>IF(A101="","",SUMIFS('Assessment Weights'!$D:$D,'Assessment Weights'!$A:$A,A101))</f>
        <v/>
      </c>
      <c r="AH101" s="12">
        <f>IF(A101="","",IF(COUNTIF($A$2:$A$1000,A101)&gt;1,"Duplicate Job ID",IF(AND(AG101&lt;&gt;100,AG101&lt;&gt;0),"Weights must total 100",IF(Z101-Y101&lt;7,"Closing date must be 7+ days after opening","OK"))))</f>
        <v/>
      </c>
    </row>
    <row r="102">
      <c r="Y102" s="13" t="n"/>
      <c r="Z102" s="13" t="n"/>
      <c r="AF102" s="13" t="n"/>
      <c r="AG102" s="12">
        <f>IF(A102="","",SUMIFS('Assessment Weights'!$D:$D,'Assessment Weights'!$A:$A,A102))</f>
        <v/>
      </c>
      <c r="AH102" s="12">
        <f>IF(A102="","",IF(COUNTIF($A$2:$A$1000,A102)&gt;1,"Duplicate Job ID",IF(AND(AG102&lt;&gt;100,AG102&lt;&gt;0),"Weights must total 100",IF(Z102-Y102&lt;7,"Closing date must be 7+ days after opening","OK"))))</f>
        <v/>
      </c>
    </row>
    <row r="103">
      <c r="Y103" s="13" t="n"/>
      <c r="Z103" s="13" t="n"/>
      <c r="AF103" s="13" t="n"/>
      <c r="AG103" s="12">
        <f>IF(A103="","",SUMIFS('Assessment Weights'!$D:$D,'Assessment Weights'!$A:$A,A103))</f>
        <v/>
      </c>
      <c r="AH103" s="12">
        <f>IF(A103="","",IF(COUNTIF($A$2:$A$1000,A103)&gt;1,"Duplicate Job ID",IF(AND(AG103&lt;&gt;100,AG103&lt;&gt;0),"Weights must total 100",IF(Z103-Y103&lt;7,"Closing date must be 7+ days after opening","OK"))))</f>
        <v/>
      </c>
    </row>
    <row r="104">
      <c r="Y104" s="13" t="n"/>
      <c r="Z104" s="13" t="n"/>
      <c r="AF104" s="13" t="n"/>
      <c r="AG104" s="12">
        <f>IF(A104="","",SUMIFS('Assessment Weights'!$D:$D,'Assessment Weights'!$A:$A,A104))</f>
        <v/>
      </c>
      <c r="AH104" s="12">
        <f>IF(A104="","",IF(COUNTIF($A$2:$A$1000,A104)&gt;1,"Duplicate Job ID",IF(AND(AG104&lt;&gt;100,AG104&lt;&gt;0),"Weights must total 100",IF(Z104-Y104&lt;7,"Closing date must be 7+ days after opening","OK"))))</f>
        <v/>
      </c>
    </row>
    <row r="105">
      <c r="Y105" s="13" t="n"/>
      <c r="Z105" s="13" t="n"/>
      <c r="AF105" s="13" t="n"/>
      <c r="AG105" s="12">
        <f>IF(A105="","",SUMIFS('Assessment Weights'!$D:$D,'Assessment Weights'!$A:$A,A105))</f>
        <v/>
      </c>
      <c r="AH105" s="12">
        <f>IF(A105="","",IF(COUNTIF($A$2:$A$1000,A105)&gt;1,"Duplicate Job ID",IF(AND(AG105&lt;&gt;100,AG105&lt;&gt;0),"Weights must total 100",IF(Z105-Y105&lt;7,"Closing date must be 7+ days after opening","OK"))))</f>
        <v/>
      </c>
    </row>
    <row r="106">
      <c r="Y106" s="13" t="n"/>
      <c r="Z106" s="13" t="n"/>
      <c r="AF106" s="13" t="n"/>
      <c r="AG106" s="12">
        <f>IF(A106="","",SUMIFS('Assessment Weights'!$D:$D,'Assessment Weights'!$A:$A,A106))</f>
        <v/>
      </c>
      <c r="AH106" s="12">
        <f>IF(A106="","",IF(COUNTIF($A$2:$A$1000,A106)&gt;1,"Duplicate Job ID",IF(AND(AG106&lt;&gt;100,AG106&lt;&gt;0),"Weights must total 100",IF(Z106-Y106&lt;7,"Closing date must be 7+ days after opening","OK"))))</f>
        <v/>
      </c>
    </row>
    <row r="107">
      <c r="Y107" s="13" t="n"/>
      <c r="Z107" s="13" t="n"/>
      <c r="AF107" s="13" t="n"/>
      <c r="AG107" s="12">
        <f>IF(A107="","",SUMIFS('Assessment Weights'!$D:$D,'Assessment Weights'!$A:$A,A107))</f>
        <v/>
      </c>
      <c r="AH107" s="12">
        <f>IF(A107="","",IF(COUNTIF($A$2:$A$1000,A107)&gt;1,"Duplicate Job ID",IF(AND(AG107&lt;&gt;100,AG107&lt;&gt;0),"Weights must total 100",IF(Z107-Y107&lt;7,"Closing date must be 7+ days after opening","OK"))))</f>
        <v/>
      </c>
    </row>
    <row r="108">
      <c r="Y108" s="13" t="n"/>
      <c r="Z108" s="13" t="n"/>
      <c r="AF108" s="13" t="n"/>
      <c r="AG108" s="12">
        <f>IF(A108="","",SUMIFS('Assessment Weights'!$D:$D,'Assessment Weights'!$A:$A,A108))</f>
        <v/>
      </c>
      <c r="AH108" s="12">
        <f>IF(A108="","",IF(COUNTIF($A$2:$A$1000,A108)&gt;1,"Duplicate Job ID",IF(AND(AG108&lt;&gt;100,AG108&lt;&gt;0),"Weights must total 100",IF(Z108-Y108&lt;7,"Closing date must be 7+ days after opening","OK"))))</f>
        <v/>
      </c>
    </row>
    <row r="109">
      <c r="Y109" s="13" t="n"/>
      <c r="Z109" s="13" t="n"/>
      <c r="AF109" s="13" t="n"/>
      <c r="AG109" s="12">
        <f>IF(A109="","",SUMIFS('Assessment Weights'!$D:$D,'Assessment Weights'!$A:$A,A109))</f>
        <v/>
      </c>
      <c r="AH109" s="12">
        <f>IF(A109="","",IF(COUNTIF($A$2:$A$1000,A109)&gt;1,"Duplicate Job ID",IF(AND(AG109&lt;&gt;100,AG109&lt;&gt;0),"Weights must total 100",IF(Z109-Y109&lt;7,"Closing date must be 7+ days after opening","OK"))))</f>
        <v/>
      </c>
    </row>
    <row r="110">
      <c r="Y110" s="13" t="n"/>
      <c r="Z110" s="13" t="n"/>
      <c r="AF110" s="13" t="n"/>
      <c r="AG110" s="12">
        <f>IF(A110="","",SUMIFS('Assessment Weights'!$D:$D,'Assessment Weights'!$A:$A,A110))</f>
        <v/>
      </c>
      <c r="AH110" s="12">
        <f>IF(A110="","",IF(COUNTIF($A$2:$A$1000,A110)&gt;1,"Duplicate Job ID",IF(AND(AG110&lt;&gt;100,AG110&lt;&gt;0),"Weights must total 100",IF(Z110-Y110&lt;7,"Closing date must be 7+ days after opening","OK"))))</f>
        <v/>
      </c>
    </row>
    <row r="111">
      <c r="Y111" s="13" t="n"/>
      <c r="Z111" s="13" t="n"/>
      <c r="AF111" s="13" t="n"/>
      <c r="AG111" s="12">
        <f>IF(A111="","",SUMIFS('Assessment Weights'!$D:$D,'Assessment Weights'!$A:$A,A111))</f>
        <v/>
      </c>
      <c r="AH111" s="12">
        <f>IF(A111="","",IF(COUNTIF($A$2:$A$1000,A111)&gt;1,"Duplicate Job ID",IF(AND(AG111&lt;&gt;100,AG111&lt;&gt;0),"Weights must total 100",IF(Z111-Y111&lt;7,"Closing date must be 7+ days after opening","OK"))))</f>
        <v/>
      </c>
    </row>
    <row r="112">
      <c r="Y112" s="13" t="n"/>
      <c r="Z112" s="13" t="n"/>
      <c r="AF112" s="13" t="n"/>
      <c r="AG112" s="12">
        <f>IF(A112="","",SUMIFS('Assessment Weights'!$D:$D,'Assessment Weights'!$A:$A,A112))</f>
        <v/>
      </c>
      <c r="AH112" s="12">
        <f>IF(A112="","",IF(COUNTIF($A$2:$A$1000,A112)&gt;1,"Duplicate Job ID",IF(AND(AG112&lt;&gt;100,AG112&lt;&gt;0),"Weights must total 100",IF(Z112-Y112&lt;7,"Closing date must be 7+ days after opening","OK"))))</f>
        <v/>
      </c>
    </row>
    <row r="113">
      <c r="Y113" s="13" t="n"/>
      <c r="Z113" s="13" t="n"/>
      <c r="AF113" s="13" t="n"/>
      <c r="AG113" s="12">
        <f>IF(A113="","",SUMIFS('Assessment Weights'!$D:$D,'Assessment Weights'!$A:$A,A113))</f>
        <v/>
      </c>
      <c r="AH113" s="12">
        <f>IF(A113="","",IF(COUNTIF($A$2:$A$1000,A113)&gt;1,"Duplicate Job ID",IF(AND(AG113&lt;&gt;100,AG113&lt;&gt;0),"Weights must total 100",IF(Z113-Y113&lt;7,"Closing date must be 7+ days after opening","OK"))))</f>
        <v/>
      </c>
    </row>
    <row r="114">
      <c r="Y114" s="13" t="n"/>
      <c r="Z114" s="13" t="n"/>
      <c r="AF114" s="13" t="n"/>
      <c r="AG114" s="12">
        <f>IF(A114="","",SUMIFS('Assessment Weights'!$D:$D,'Assessment Weights'!$A:$A,A114))</f>
        <v/>
      </c>
      <c r="AH114" s="12">
        <f>IF(A114="","",IF(COUNTIF($A$2:$A$1000,A114)&gt;1,"Duplicate Job ID",IF(AND(AG114&lt;&gt;100,AG114&lt;&gt;0),"Weights must total 100",IF(Z114-Y114&lt;7,"Closing date must be 7+ days after opening","OK"))))</f>
        <v/>
      </c>
    </row>
    <row r="115">
      <c r="Y115" s="13" t="n"/>
      <c r="Z115" s="13" t="n"/>
      <c r="AF115" s="13" t="n"/>
      <c r="AG115" s="12">
        <f>IF(A115="","",SUMIFS('Assessment Weights'!$D:$D,'Assessment Weights'!$A:$A,A115))</f>
        <v/>
      </c>
      <c r="AH115" s="12">
        <f>IF(A115="","",IF(COUNTIF($A$2:$A$1000,A115)&gt;1,"Duplicate Job ID",IF(AND(AG115&lt;&gt;100,AG115&lt;&gt;0),"Weights must total 100",IF(Z115-Y115&lt;7,"Closing date must be 7+ days after opening","OK"))))</f>
        <v/>
      </c>
    </row>
    <row r="116">
      <c r="Y116" s="13" t="n"/>
      <c r="Z116" s="13" t="n"/>
      <c r="AF116" s="13" t="n"/>
      <c r="AG116" s="12">
        <f>IF(A116="","",SUMIFS('Assessment Weights'!$D:$D,'Assessment Weights'!$A:$A,A116))</f>
        <v/>
      </c>
      <c r="AH116" s="12">
        <f>IF(A116="","",IF(COUNTIF($A$2:$A$1000,A116)&gt;1,"Duplicate Job ID",IF(AND(AG116&lt;&gt;100,AG116&lt;&gt;0),"Weights must total 100",IF(Z116-Y116&lt;7,"Closing date must be 7+ days after opening","OK"))))</f>
        <v/>
      </c>
    </row>
    <row r="117">
      <c r="Y117" s="13" t="n"/>
      <c r="Z117" s="13" t="n"/>
      <c r="AF117" s="13" t="n"/>
      <c r="AG117" s="12">
        <f>IF(A117="","",SUMIFS('Assessment Weights'!$D:$D,'Assessment Weights'!$A:$A,A117))</f>
        <v/>
      </c>
      <c r="AH117" s="12">
        <f>IF(A117="","",IF(COUNTIF($A$2:$A$1000,A117)&gt;1,"Duplicate Job ID",IF(AND(AG117&lt;&gt;100,AG117&lt;&gt;0),"Weights must total 100",IF(Z117-Y117&lt;7,"Closing date must be 7+ days after opening","OK"))))</f>
        <v/>
      </c>
    </row>
    <row r="118">
      <c r="Y118" s="13" t="n"/>
      <c r="Z118" s="13" t="n"/>
      <c r="AF118" s="13" t="n"/>
      <c r="AG118" s="12">
        <f>IF(A118="","",SUMIFS('Assessment Weights'!$D:$D,'Assessment Weights'!$A:$A,A118))</f>
        <v/>
      </c>
      <c r="AH118" s="12">
        <f>IF(A118="","",IF(COUNTIF($A$2:$A$1000,A118)&gt;1,"Duplicate Job ID",IF(AND(AG118&lt;&gt;100,AG118&lt;&gt;0),"Weights must total 100",IF(Z118-Y118&lt;7,"Closing date must be 7+ days after opening","OK"))))</f>
        <v/>
      </c>
    </row>
    <row r="119">
      <c r="Y119" s="13" t="n"/>
      <c r="Z119" s="13" t="n"/>
      <c r="AF119" s="13" t="n"/>
      <c r="AG119" s="12">
        <f>IF(A119="","",SUMIFS('Assessment Weights'!$D:$D,'Assessment Weights'!$A:$A,A119))</f>
        <v/>
      </c>
      <c r="AH119" s="12">
        <f>IF(A119="","",IF(COUNTIF($A$2:$A$1000,A119)&gt;1,"Duplicate Job ID",IF(AND(AG119&lt;&gt;100,AG119&lt;&gt;0),"Weights must total 100",IF(Z119-Y119&lt;7,"Closing date must be 7+ days after opening","OK"))))</f>
        <v/>
      </c>
    </row>
    <row r="120">
      <c r="Y120" s="13" t="n"/>
      <c r="Z120" s="13" t="n"/>
      <c r="AF120" s="13" t="n"/>
      <c r="AG120" s="12">
        <f>IF(A120="","",SUMIFS('Assessment Weights'!$D:$D,'Assessment Weights'!$A:$A,A120))</f>
        <v/>
      </c>
      <c r="AH120" s="12">
        <f>IF(A120="","",IF(COUNTIF($A$2:$A$1000,A120)&gt;1,"Duplicate Job ID",IF(AND(AG120&lt;&gt;100,AG120&lt;&gt;0),"Weights must total 100",IF(Z120-Y120&lt;7,"Closing date must be 7+ days after opening","OK"))))</f>
        <v/>
      </c>
    </row>
    <row r="121">
      <c r="Y121" s="13" t="n"/>
      <c r="Z121" s="13" t="n"/>
      <c r="AF121" s="13" t="n"/>
      <c r="AG121" s="12">
        <f>IF(A121="","",SUMIFS('Assessment Weights'!$D:$D,'Assessment Weights'!$A:$A,A121))</f>
        <v/>
      </c>
      <c r="AH121" s="12">
        <f>IF(A121="","",IF(COUNTIF($A$2:$A$1000,A121)&gt;1,"Duplicate Job ID",IF(AND(AG121&lt;&gt;100,AG121&lt;&gt;0),"Weights must total 100",IF(Z121-Y121&lt;7,"Closing date must be 7+ days after opening","OK"))))</f>
        <v/>
      </c>
    </row>
    <row r="122">
      <c r="Y122" s="13" t="n"/>
      <c r="Z122" s="13" t="n"/>
      <c r="AF122" s="13" t="n"/>
      <c r="AG122" s="12">
        <f>IF(A122="","",SUMIFS('Assessment Weights'!$D:$D,'Assessment Weights'!$A:$A,A122))</f>
        <v/>
      </c>
      <c r="AH122" s="12">
        <f>IF(A122="","",IF(COUNTIF($A$2:$A$1000,A122)&gt;1,"Duplicate Job ID",IF(AND(AG122&lt;&gt;100,AG122&lt;&gt;0),"Weights must total 100",IF(Z122-Y122&lt;7,"Closing date must be 7+ days after opening","OK"))))</f>
        <v/>
      </c>
    </row>
    <row r="123">
      <c r="Y123" s="13" t="n"/>
      <c r="Z123" s="13" t="n"/>
      <c r="AF123" s="13" t="n"/>
      <c r="AG123" s="12">
        <f>IF(A123="","",SUMIFS('Assessment Weights'!$D:$D,'Assessment Weights'!$A:$A,A123))</f>
        <v/>
      </c>
      <c r="AH123" s="12">
        <f>IF(A123="","",IF(COUNTIF($A$2:$A$1000,A123)&gt;1,"Duplicate Job ID",IF(AND(AG123&lt;&gt;100,AG123&lt;&gt;0),"Weights must total 100",IF(Z123-Y123&lt;7,"Closing date must be 7+ days after opening","OK"))))</f>
        <v/>
      </c>
    </row>
    <row r="124">
      <c r="Y124" s="13" t="n"/>
      <c r="Z124" s="13" t="n"/>
      <c r="AF124" s="13" t="n"/>
      <c r="AG124" s="12">
        <f>IF(A124="","",SUMIFS('Assessment Weights'!$D:$D,'Assessment Weights'!$A:$A,A124))</f>
        <v/>
      </c>
      <c r="AH124" s="12">
        <f>IF(A124="","",IF(COUNTIF($A$2:$A$1000,A124)&gt;1,"Duplicate Job ID",IF(AND(AG124&lt;&gt;100,AG124&lt;&gt;0),"Weights must total 100",IF(Z124-Y124&lt;7,"Closing date must be 7+ days after opening","OK"))))</f>
        <v/>
      </c>
    </row>
    <row r="125">
      <c r="Y125" s="13" t="n"/>
      <c r="Z125" s="13" t="n"/>
      <c r="AF125" s="13" t="n"/>
      <c r="AG125" s="12">
        <f>IF(A125="","",SUMIFS('Assessment Weights'!$D:$D,'Assessment Weights'!$A:$A,A125))</f>
        <v/>
      </c>
      <c r="AH125" s="12">
        <f>IF(A125="","",IF(COUNTIF($A$2:$A$1000,A125)&gt;1,"Duplicate Job ID",IF(AND(AG125&lt;&gt;100,AG125&lt;&gt;0),"Weights must total 100",IF(Z125-Y125&lt;7,"Closing date must be 7+ days after opening","OK"))))</f>
        <v/>
      </c>
    </row>
    <row r="126">
      <c r="Y126" s="13" t="n"/>
      <c r="Z126" s="13" t="n"/>
      <c r="AF126" s="13" t="n"/>
      <c r="AG126" s="12">
        <f>IF(A126="","",SUMIFS('Assessment Weights'!$D:$D,'Assessment Weights'!$A:$A,A126))</f>
        <v/>
      </c>
      <c r="AH126" s="12">
        <f>IF(A126="","",IF(COUNTIF($A$2:$A$1000,A126)&gt;1,"Duplicate Job ID",IF(AND(AG126&lt;&gt;100,AG126&lt;&gt;0),"Weights must total 100",IF(Z126-Y126&lt;7,"Closing date must be 7+ days after opening","OK"))))</f>
        <v/>
      </c>
    </row>
    <row r="127">
      <c r="Y127" s="13" t="n"/>
      <c r="Z127" s="13" t="n"/>
      <c r="AF127" s="13" t="n"/>
      <c r="AG127" s="12">
        <f>IF(A127="","",SUMIFS('Assessment Weights'!$D:$D,'Assessment Weights'!$A:$A,A127))</f>
        <v/>
      </c>
      <c r="AH127" s="12">
        <f>IF(A127="","",IF(COUNTIF($A$2:$A$1000,A127)&gt;1,"Duplicate Job ID",IF(AND(AG127&lt;&gt;100,AG127&lt;&gt;0),"Weights must total 100",IF(Z127-Y127&lt;7,"Closing date must be 7+ days after opening","OK"))))</f>
        <v/>
      </c>
    </row>
    <row r="128">
      <c r="Y128" s="13" t="n"/>
      <c r="Z128" s="13" t="n"/>
      <c r="AF128" s="13" t="n"/>
      <c r="AG128" s="12">
        <f>IF(A128="","",SUMIFS('Assessment Weights'!$D:$D,'Assessment Weights'!$A:$A,A128))</f>
        <v/>
      </c>
      <c r="AH128" s="12">
        <f>IF(A128="","",IF(COUNTIF($A$2:$A$1000,A128)&gt;1,"Duplicate Job ID",IF(AND(AG128&lt;&gt;100,AG128&lt;&gt;0),"Weights must total 100",IF(Z128-Y128&lt;7,"Closing date must be 7+ days after opening","OK"))))</f>
        <v/>
      </c>
    </row>
    <row r="129">
      <c r="Y129" s="13" t="n"/>
      <c r="Z129" s="13" t="n"/>
      <c r="AF129" s="13" t="n"/>
      <c r="AG129" s="12">
        <f>IF(A129="","",SUMIFS('Assessment Weights'!$D:$D,'Assessment Weights'!$A:$A,A129))</f>
        <v/>
      </c>
      <c r="AH129" s="12">
        <f>IF(A129="","",IF(COUNTIF($A$2:$A$1000,A129)&gt;1,"Duplicate Job ID",IF(AND(AG129&lt;&gt;100,AG129&lt;&gt;0),"Weights must total 100",IF(Z129-Y129&lt;7,"Closing date must be 7+ days after opening","OK"))))</f>
        <v/>
      </c>
    </row>
    <row r="130">
      <c r="Y130" s="13" t="n"/>
      <c r="Z130" s="13" t="n"/>
      <c r="AF130" s="13" t="n"/>
      <c r="AG130" s="12">
        <f>IF(A130="","",SUMIFS('Assessment Weights'!$D:$D,'Assessment Weights'!$A:$A,A130))</f>
        <v/>
      </c>
      <c r="AH130" s="12">
        <f>IF(A130="","",IF(COUNTIF($A$2:$A$1000,A130)&gt;1,"Duplicate Job ID",IF(AND(AG130&lt;&gt;100,AG130&lt;&gt;0),"Weights must total 100",IF(Z130-Y130&lt;7,"Closing date must be 7+ days after opening","OK"))))</f>
        <v/>
      </c>
    </row>
    <row r="131">
      <c r="Y131" s="13" t="n"/>
      <c r="Z131" s="13" t="n"/>
      <c r="AF131" s="13" t="n"/>
      <c r="AG131" s="12">
        <f>IF(A131="","",SUMIFS('Assessment Weights'!$D:$D,'Assessment Weights'!$A:$A,A131))</f>
        <v/>
      </c>
      <c r="AH131" s="12">
        <f>IF(A131="","",IF(COUNTIF($A$2:$A$1000,A131)&gt;1,"Duplicate Job ID",IF(AND(AG131&lt;&gt;100,AG131&lt;&gt;0),"Weights must total 100",IF(Z131-Y131&lt;7,"Closing date must be 7+ days after opening","OK"))))</f>
        <v/>
      </c>
    </row>
    <row r="132">
      <c r="Y132" s="13" t="n"/>
      <c r="Z132" s="13" t="n"/>
      <c r="AF132" s="13" t="n"/>
      <c r="AG132" s="12">
        <f>IF(A132="","",SUMIFS('Assessment Weights'!$D:$D,'Assessment Weights'!$A:$A,A132))</f>
        <v/>
      </c>
      <c r="AH132" s="12">
        <f>IF(A132="","",IF(COUNTIF($A$2:$A$1000,A132)&gt;1,"Duplicate Job ID",IF(AND(AG132&lt;&gt;100,AG132&lt;&gt;0),"Weights must total 100",IF(Z132-Y132&lt;7,"Closing date must be 7+ days after opening","OK"))))</f>
        <v/>
      </c>
    </row>
    <row r="133">
      <c r="Y133" s="13" t="n"/>
      <c r="Z133" s="13" t="n"/>
      <c r="AF133" s="13" t="n"/>
      <c r="AG133" s="12">
        <f>IF(A133="","",SUMIFS('Assessment Weights'!$D:$D,'Assessment Weights'!$A:$A,A133))</f>
        <v/>
      </c>
      <c r="AH133" s="12">
        <f>IF(A133="","",IF(COUNTIF($A$2:$A$1000,A133)&gt;1,"Duplicate Job ID",IF(AND(AG133&lt;&gt;100,AG133&lt;&gt;0),"Weights must total 100",IF(Z133-Y133&lt;7,"Closing date must be 7+ days after opening","OK"))))</f>
        <v/>
      </c>
    </row>
    <row r="134">
      <c r="Y134" s="13" t="n"/>
      <c r="Z134" s="13" t="n"/>
      <c r="AF134" s="13" t="n"/>
      <c r="AG134" s="12">
        <f>IF(A134="","",SUMIFS('Assessment Weights'!$D:$D,'Assessment Weights'!$A:$A,A134))</f>
        <v/>
      </c>
      <c r="AH134" s="12">
        <f>IF(A134="","",IF(COUNTIF($A$2:$A$1000,A134)&gt;1,"Duplicate Job ID",IF(AND(AG134&lt;&gt;100,AG134&lt;&gt;0),"Weights must total 100",IF(Z134-Y134&lt;7,"Closing date must be 7+ days after opening","OK"))))</f>
        <v/>
      </c>
    </row>
    <row r="135">
      <c r="Y135" s="13" t="n"/>
      <c r="Z135" s="13" t="n"/>
      <c r="AF135" s="13" t="n"/>
      <c r="AG135" s="12">
        <f>IF(A135="","",SUMIFS('Assessment Weights'!$D:$D,'Assessment Weights'!$A:$A,A135))</f>
        <v/>
      </c>
      <c r="AH135" s="12">
        <f>IF(A135="","",IF(COUNTIF($A$2:$A$1000,A135)&gt;1,"Duplicate Job ID",IF(AND(AG135&lt;&gt;100,AG135&lt;&gt;0),"Weights must total 100",IF(Z135-Y135&lt;7,"Closing date must be 7+ days after opening","OK"))))</f>
        <v/>
      </c>
    </row>
    <row r="136">
      <c r="Y136" s="13" t="n"/>
      <c r="Z136" s="13" t="n"/>
      <c r="AF136" s="13" t="n"/>
      <c r="AG136" s="12">
        <f>IF(A136="","",SUMIFS('Assessment Weights'!$D:$D,'Assessment Weights'!$A:$A,A136))</f>
        <v/>
      </c>
      <c r="AH136" s="12">
        <f>IF(A136="","",IF(COUNTIF($A$2:$A$1000,A136)&gt;1,"Duplicate Job ID",IF(AND(AG136&lt;&gt;100,AG136&lt;&gt;0),"Weights must total 100",IF(Z136-Y136&lt;7,"Closing date must be 7+ days after opening","OK"))))</f>
        <v/>
      </c>
    </row>
    <row r="137">
      <c r="Y137" s="13" t="n"/>
      <c r="Z137" s="13" t="n"/>
      <c r="AF137" s="13" t="n"/>
      <c r="AG137" s="12">
        <f>IF(A137="","",SUMIFS('Assessment Weights'!$D:$D,'Assessment Weights'!$A:$A,A137))</f>
        <v/>
      </c>
      <c r="AH137" s="12">
        <f>IF(A137="","",IF(COUNTIF($A$2:$A$1000,A137)&gt;1,"Duplicate Job ID",IF(AND(AG137&lt;&gt;100,AG137&lt;&gt;0),"Weights must total 100",IF(Z137-Y137&lt;7,"Closing date must be 7+ days after opening","OK"))))</f>
        <v/>
      </c>
    </row>
    <row r="138">
      <c r="Y138" s="13" t="n"/>
      <c r="Z138" s="13" t="n"/>
      <c r="AF138" s="13" t="n"/>
      <c r="AG138" s="12">
        <f>IF(A138="","",SUMIFS('Assessment Weights'!$D:$D,'Assessment Weights'!$A:$A,A138))</f>
        <v/>
      </c>
      <c r="AH138" s="12">
        <f>IF(A138="","",IF(COUNTIF($A$2:$A$1000,A138)&gt;1,"Duplicate Job ID",IF(AND(AG138&lt;&gt;100,AG138&lt;&gt;0),"Weights must total 100",IF(Z138-Y138&lt;7,"Closing date must be 7+ days after opening","OK"))))</f>
        <v/>
      </c>
    </row>
    <row r="139">
      <c r="Y139" s="13" t="n"/>
      <c r="Z139" s="13" t="n"/>
      <c r="AF139" s="13" t="n"/>
      <c r="AG139" s="12">
        <f>IF(A139="","",SUMIFS('Assessment Weights'!$D:$D,'Assessment Weights'!$A:$A,A139))</f>
        <v/>
      </c>
      <c r="AH139" s="12">
        <f>IF(A139="","",IF(COUNTIF($A$2:$A$1000,A139)&gt;1,"Duplicate Job ID",IF(AND(AG139&lt;&gt;100,AG139&lt;&gt;0),"Weights must total 100",IF(Z139-Y139&lt;7,"Closing date must be 7+ days after opening","OK"))))</f>
        <v/>
      </c>
    </row>
    <row r="140">
      <c r="Y140" s="13" t="n"/>
      <c r="Z140" s="13" t="n"/>
      <c r="AF140" s="13" t="n"/>
      <c r="AG140" s="12">
        <f>IF(A140="","",SUMIFS('Assessment Weights'!$D:$D,'Assessment Weights'!$A:$A,A140))</f>
        <v/>
      </c>
      <c r="AH140" s="12">
        <f>IF(A140="","",IF(COUNTIF($A$2:$A$1000,A140)&gt;1,"Duplicate Job ID",IF(AND(AG140&lt;&gt;100,AG140&lt;&gt;0),"Weights must total 100",IF(Z140-Y140&lt;7,"Closing date must be 7+ days after opening","OK"))))</f>
        <v/>
      </c>
    </row>
    <row r="141">
      <c r="Y141" s="13" t="n"/>
      <c r="Z141" s="13" t="n"/>
      <c r="AF141" s="13" t="n"/>
      <c r="AG141" s="12">
        <f>IF(A141="","",SUMIFS('Assessment Weights'!$D:$D,'Assessment Weights'!$A:$A,A141))</f>
        <v/>
      </c>
      <c r="AH141" s="12">
        <f>IF(A141="","",IF(COUNTIF($A$2:$A$1000,A141)&gt;1,"Duplicate Job ID",IF(AND(AG141&lt;&gt;100,AG141&lt;&gt;0),"Weights must total 100",IF(Z141-Y141&lt;7,"Closing date must be 7+ days after opening","OK"))))</f>
        <v/>
      </c>
    </row>
    <row r="142">
      <c r="Y142" s="13" t="n"/>
      <c r="Z142" s="13" t="n"/>
      <c r="AF142" s="13" t="n"/>
      <c r="AG142" s="12">
        <f>IF(A142="","",SUMIFS('Assessment Weights'!$D:$D,'Assessment Weights'!$A:$A,A142))</f>
        <v/>
      </c>
      <c r="AH142" s="12">
        <f>IF(A142="","",IF(COUNTIF($A$2:$A$1000,A142)&gt;1,"Duplicate Job ID",IF(AND(AG142&lt;&gt;100,AG142&lt;&gt;0),"Weights must total 100",IF(Z142-Y142&lt;7,"Closing date must be 7+ days after opening","OK"))))</f>
        <v/>
      </c>
    </row>
    <row r="143">
      <c r="Y143" s="13" t="n"/>
      <c r="Z143" s="13" t="n"/>
      <c r="AF143" s="13" t="n"/>
      <c r="AG143" s="12">
        <f>IF(A143="","",SUMIFS('Assessment Weights'!$D:$D,'Assessment Weights'!$A:$A,A143))</f>
        <v/>
      </c>
      <c r="AH143" s="12">
        <f>IF(A143="","",IF(COUNTIF($A$2:$A$1000,A143)&gt;1,"Duplicate Job ID",IF(AND(AG143&lt;&gt;100,AG143&lt;&gt;0),"Weights must total 100",IF(Z143-Y143&lt;7,"Closing date must be 7+ days after opening","OK"))))</f>
        <v/>
      </c>
    </row>
    <row r="144">
      <c r="Y144" s="13" t="n"/>
      <c r="Z144" s="13" t="n"/>
      <c r="AF144" s="13" t="n"/>
      <c r="AG144" s="12">
        <f>IF(A144="","",SUMIFS('Assessment Weights'!$D:$D,'Assessment Weights'!$A:$A,A144))</f>
        <v/>
      </c>
      <c r="AH144" s="12">
        <f>IF(A144="","",IF(COUNTIF($A$2:$A$1000,A144)&gt;1,"Duplicate Job ID",IF(AND(AG144&lt;&gt;100,AG144&lt;&gt;0),"Weights must total 100",IF(Z144-Y144&lt;7,"Closing date must be 7+ days after opening","OK"))))</f>
        <v/>
      </c>
    </row>
    <row r="145">
      <c r="Y145" s="13" t="n"/>
      <c r="Z145" s="13" t="n"/>
      <c r="AF145" s="13" t="n"/>
      <c r="AG145" s="12">
        <f>IF(A145="","",SUMIFS('Assessment Weights'!$D:$D,'Assessment Weights'!$A:$A,A145))</f>
        <v/>
      </c>
      <c r="AH145" s="12">
        <f>IF(A145="","",IF(COUNTIF($A$2:$A$1000,A145)&gt;1,"Duplicate Job ID",IF(AND(AG145&lt;&gt;100,AG145&lt;&gt;0),"Weights must total 100",IF(Z145-Y145&lt;7,"Closing date must be 7+ days after opening","OK"))))</f>
        <v/>
      </c>
    </row>
    <row r="146">
      <c r="Y146" s="13" t="n"/>
      <c r="Z146" s="13" t="n"/>
      <c r="AF146" s="13" t="n"/>
      <c r="AG146" s="12">
        <f>IF(A146="","",SUMIFS('Assessment Weights'!$D:$D,'Assessment Weights'!$A:$A,A146))</f>
        <v/>
      </c>
      <c r="AH146" s="12">
        <f>IF(A146="","",IF(COUNTIF($A$2:$A$1000,A146)&gt;1,"Duplicate Job ID",IF(AND(AG146&lt;&gt;100,AG146&lt;&gt;0),"Weights must total 100",IF(Z146-Y146&lt;7,"Closing date must be 7+ days after opening","OK"))))</f>
        <v/>
      </c>
    </row>
    <row r="147">
      <c r="Y147" s="13" t="n"/>
      <c r="Z147" s="13" t="n"/>
      <c r="AF147" s="13" t="n"/>
      <c r="AG147" s="12">
        <f>IF(A147="","",SUMIFS('Assessment Weights'!$D:$D,'Assessment Weights'!$A:$A,A147))</f>
        <v/>
      </c>
      <c r="AH147" s="12">
        <f>IF(A147="","",IF(COUNTIF($A$2:$A$1000,A147)&gt;1,"Duplicate Job ID",IF(AND(AG147&lt;&gt;100,AG147&lt;&gt;0),"Weights must total 100",IF(Z147-Y147&lt;7,"Closing date must be 7+ days after opening","OK"))))</f>
        <v/>
      </c>
    </row>
    <row r="148">
      <c r="Y148" s="13" t="n"/>
      <c r="Z148" s="13" t="n"/>
      <c r="AF148" s="13" t="n"/>
      <c r="AG148" s="12">
        <f>IF(A148="","",SUMIFS('Assessment Weights'!$D:$D,'Assessment Weights'!$A:$A,A148))</f>
        <v/>
      </c>
      <c r="AH148" s="12">
        <f>IF(A148="","",IF(COUNTIF($A$2:$A$1000,A148)&gt;1,"Duplicate Job ID",IF(AND(AG148&lt;&gt;100,AG148&lt;&gt;0),"Weights must total 100",IF(Z148-Y148&lt;7,"Closing date must be 7+ days after opening","OK"))))</f>
        <v/>
      </c>
    </row>
    <row r="149">
      <c r="Y149" s="13" t="n"/>
      <c r="Z149" s="13" t="n"/>
      <c r="AF149" s="13" t="n"/>
      <c r="AG149" s="12">
        <f>IF(A149="","",SUMIFS('Assessment Weights'!$D:$D,'Assessment Weights'!$A:$A,A149))</f>
        <v/>
      </c>
      <c r="AH149" s="12">
        <f>IF(A149="","",IF(COUNTIF($A$2:$A$1000,A149)&gt;1,"Duplicate Job ID",IF(AND(AG149&lt;&gt;100,AG149&lt;&gt;0),"Weights must total 100",IF(Z149-Y149&lt;7,"Closing date must be 7+ days after opening","OK"))))</f>
        <v/>
      </c>
    </row>
    <row r="150">
      <c r="Y150" s="13" t="n"/>
      <c r="Z150" s="13" t="n"/>
      <c r="AF150" s="13" t="n"/>
      <c r="AG150" s="12">
        <f>IF(A150="","",SUMIFS('Assessment Weights'!$D:$D,'Assessment Weights'!$A:$A,A150))</f>
        <v/>
      </c>
      <c r="AH150" s="12">
        <f>IF(A150="","",IF(COUNTIF($A$2:$A$1000,A150)&gt;1,"Duplicate Job ID",IF(AND(AG150&lt;&gt;100,AG150&lt;&gt;0),"Weights must total 100",IF(Z150-Y150&lt;7,"Closing date must be 7+ days after opening","OK"))))</f>
        <v/>
      </c>
    </row>
    <row r="151">
      <c r="Y151" s="13" t="n"/>
      <c r="Z151" s="13" t="n"/>
      <c r="AF151" s="13" t="n"/>
      <c r="AG151" s="12">
        <f>IF(A151="","",SUMIFS('Assessment Weights'!$D:$D,'Assessment Weights'!$A:$A,A151))</f>
        <v/>
      </c>
      <c r="AH151" s="12">
        <f>IF(A151="","",IF(COUNTIF($A$2:$A$1000,A151)&gt;1,"Duplicate Job ID",IF(AND(AG151&lt;&gt;100,AG151&lt;&gt;0),"Weights must total 100",IF(Z151-Y151&lt;7,"Closing date must be 7+ days after opening","OK"))))</f>
        <v/>
      </c>
    </row>
    <row r="152">
      <c r="Y152" s="13" t="n"/>
      <c r="Z152" s="13" t="n"/>
      <c r="AF152" s="13" t="n"/>
      <c r="AG152" s="12">
        <f>IF(A152="","",SUMIFS('Assessment Weights'!$D:$D,'Assessment Weights'!$A:$A,A152))</f>
        <v/>
      </c>
      <c r="AH152" s="12">
        <f>IF(A152="","",IF(COUNTIF($A$2:$A$1000,A152)&gt;1,"Duplicate Job ID",IF(AND(AG152&lt;&gt;100,AG152&lt;&gt;0),"Weights must total 100",IF(Z152-Y152&lt;7,"Closing date must be 7+ days after opening","OK"))))</f>
        <v/>
      </c>
    </row>
    <row r="153">
      <c r="Y153" s="13" t="n"/>
      <c r="Z153" s="13" t="n"/>
      <c r="AF153" s="13" t="n"/>
      <c r="AG153" s="12">
        <f>IF(A153="","",SUMIFS('Assessment Weights'!$D:$D,'Assessment Weights'!$A:$A,A153))</f>
        <v/>
      </c>
      <c r="AH153" s="12">
        <f>IF(A153="","",IF(COUNTIF($A$2:$A$1000,A153)&gt;1,"Duplicate Job ID",IF(AND(AG153&lt;&gt;100,AG153&lt;&gt;0),"Weights must total 100",IF(Z153-Y153&lt;7,"Closing date must be 7+ days after opening","OK"))))</f>
        <v/>
      </c>
    </row>
    <row r="154">
      <c r="Y154" s="13" t="n"/>
      <c r="Z154" s="13" t="n"/>
      <c r="AF154" s="13" t="n"/>
      <c r="AG154" s="12">
        <f>IF(A154="","",SUMIFS('Assessment Weights'!$D:$D,'Assessment Weights'!$A:$A,A154))</f>
        <v/>
      </c>
      <c r="AH154" s="12">
        <f>IF(A154="","",IF(COUNTIF($A$2:$A$1000,A154)&gt;1,"Duplicate Job ID",IF(AND(AG154&lt;&gt;100,AG154&lt;&gt;0),"Weights must total 100",IF(Z154-Y154&lt;7,"Closing date must be 7+ days after opening","OK"))))</f>
        <v/>
      </c>
    </row>
    <row r="155">
      <c r="Y155" s="13" t="n"/>
      <c r="Z155" s="13" t="n"/>
      <c r="AF155" s="13" t="n"/>
      <c r="AG155" s="12">
        <f>IF(A155="","",SUMIFS('Assessment Weights'!$D:$D,'Assessment Weights'!$A:$A,A155))</f>
        <v/>
      </c>
      <c r="AH155" s="12">
        <f>IF(A155="","",IF(COUNTIF($A$2:$A$1000,A155)&gt;1,"Duplicate Job ID",IF(AND(AG155&lt;&gt;100,AG155&lt;&gt;0),"Weights must total 100",IF(Z155-Y155&lt;7,"Closing date must be 7+ days after opening","OK"))))</f>
        <v/>
      </c>
    </row>
    <row r="156">
      <c r="Y156" s="13" t="n"/>
      <c r="Z156" s="13" t="n"/>
      <c r="AF156" s="13" t="n"/>
      <c r="AG156" s="12">
        <f>IF(A156="","",SUMIFS('Assessment Weights'!$D:$D,'Assessment Weights'!$A:$A,A156))</f>
        <v/>
      </c>
      <c r="AH156" s="12">
        <f>IF(A156="","",IF(COUNTIF($A$2:$A$1000,A156)&gt;1,"Duplicate Job ID",IF(AND(AG156&lt;&gt;100,AG156&lt;&gt;0),"Weights must total 100",IF(Z156-Y156&lt;7,"Closing date must be 7+ days after opening","OK"))))</f>
        <v/>
      </c>
    </row>
    <row r="157">
      <c r="Y157" s="13" t="n"/>
      <c r="Z157" s="13" t="n"/>
      <c r="AF157" s="13" t="n"/>
      <c r="AG157" s="12">
        <f>IF(A157="","",SUMIFS('Assessment Weights'!$D:$D,'Assessment Weights'!$A:$A,A157))</f>
        <v/>
      </c>
      <c r="AH157" s="12">
        <f>IF(A157="","",IF(COUNTIF($A$2:$A$1000,A157)&gt;1,"Duplicate Job ID",IF(AND(AG157&lt;&gt;100,AG157&lt;&gt;0),"Weights must total 100",IF(Z157-Y157&lt;7,"Closing date must be 7+ days after opening","OK"))))</f>
        <v/>
      </c>
    </row>
    <row r="158">
      <c r="Y158" s="13" t="n"/>
      <c r="Z158" s="13" t="n"/>
      <c r="AF158" s="13" t="n"/>
      <c r="AG158" s="12">
        <f>IF(A158="","",SUMIFS('Assessment Weights'!$D:$D,'Assessment Weights'!$A:$A,A158))</f>
        <v/>
      </c>
      <c r="AH158" s="12">
        <f>IF(A158="","",IF(COUNTIF($A$2:$A$1000,A158)&gt;1,"Duplicate Job ID",IF(AND(AG158&lt;&gt;100,AG158&lt;&gt;0),"Weights must total 100",IF(Z158-Y158&lt;7,"Closing date must be 7+ days after opening","OK"))))</f>
        <v/>
      </c>
    </row>
    <row r="159">
      <c r="Y159" s="13" t="n"/>
      <c r="Z159" s="13" t="n"/>
      <c r="AF159" s="13" t="n"/>
      <c r="AG159" s="12">
        <f>IF(A159="","",SUMIFS('Assessment Weights'!$D:$D,'Assessment Weights'!$A:$A,A159))</f>
        <v/>
      </c>
      <c r="AH159" s="12">
        <f>IF(A159="","",IF(COUNTIF($A$2:$A$1000,A159)&gt;1,"Duplicate Job ID",IF(AND(AG159&lt;&gt;100,AG159&lt;&gt;0),"Weights must total 100",IF(Z159-Y159&lt;7,"Closing date must be 7+ days after opening","OK"))))</f>
        <v/>
      </c>
    </row>
    <row r="160">
      <c r="Y160" s="13" t="n"/>
      <c r="Z160" s="13" t="n"/>
      <c r="AF160" s="13" t="n"/>
      <c r="AG160" s="12">
        <f>IF(A160="","",SUMIFS('Assessment Weights'!$D:$D,'Assessment Weights'!$A:$A,A160))</f>
        <v/>
      </c>
      <c r="AH160" s="12">
        <f>IF(A160="","",IF(COUNTIF($A$2:$A$1000,A160)&gt;1,"Duplicate Job ID",IF(AND(AG160&lt;&gt;100,AG160&lt;&gt;0),"Weights must total 100",IF(Z160-Y160&lt;7,"Closing date must be 7+ days after opening","OK"))))</f>
        <v/>
      </c>
    </row>
    <row r="161">
      <c r="Y161" s="13" t="n"/>
      <c r="Z161" s="13" t="n"/>
      <c r="AF161" s="13" t="n"/>
      <c r="AG161" s="12">
        <f>IF(A161="","",SUMIFS('Assessment Weights'!$D:$D,'Assessment Weights'!$A:$A,A161))</f>
        <v/>
      </c>
      <c r="AH161" s="12">
        <f>IF(A161="","",IF(COUNTIF($A$2:$A$1000,A161)&gt;1,"Duplicate Job ID",IF(AND(AG161&lt;&gt;100,AG161&lt;&gt;0),"Weights must total 100",IF(Z161-Y161&lt;7,"Closing date must be 7+ days after opening","OK"))))</f>
        <v/>
      </c>
    </row>
    <row r="162">
      <c r="Y162" s="13" t="n"/>
      <c r="Z162" s="13" t="n"/>
      <c r="AF162" s="13" t="n"/>
      <c r="AG162" s="12">
        <f>IF(A162="","",SUMIFS('Assessment Weights'!$D:$D,'Assessment Weights'!$A:$A,A162))</f>
        <v/>
      </c>
      <c r="AH162" s="12">
        <f>IF(A162="","",IF(COUNTIF($A$2:$A$1000,A162)&gt;1,"Duplicate Job ID",IF(AND(AG162&lt;&gt;100,AG162&lt;&gt;0),"Weights must total 100",IF(Z162-Y162&lt;7,"Closing date must be 7+ days after opening","OK"))))</f>
        <v/>
      </c>
    </row>
    <row r="163">
      <c r="Y163" s="13" t="n"/>
      <c r="Z163" s="13" t="n"/>
      <c r="AF163" s="13" t="n"/>
      <c r="AG163" s="12">
        <f>IF(A163="","",SUMIFS('Assessment Weights'!$D:$D,'Assessment Weights'!$A:$A,A163))</f>
        <v/>
      </c>
      <c r="AH163" s="12">
        <f>IF(A163="","",IF(COUNTIF($A$2:$A$1000,A163)&gt;1,"Duplicate Job ID",IF(AND(AG163&lt;&gt;100,AG163&lt;&gt;0),"Weights must total 100",IF(Z163-Y163&lt;7,"Closing date must be 7+ days after opening","OK"))))</f>
        <v/>
      </c>
    </row>
    <row r="164">
      <c r="Y164" s="13" t="n"/>
      <c r="Z164" s="13" t="n"/>
      <c r="AF164" s="13" t="n"/>
      <c r="AG164" s="12">
        <f>IF(A164="","",SUMIFS('Assessment Weights'!$D:$D,'Assessment Weights'!$A:$A,A164))</f>
        <v/>
      </c>
      <c r="AH164" s="12">
        <f>IF(A164="","",IF(COUNTIF($A$2:$A$1000,A164)&gt;1,"Duplicate Job ID",IF(AND(AG164&lt;&gt;100,AG164&lt;&gt;0),"Weights must total 100",IF(Z164-Y164&lt;7,"Closing date must be 7+ days after opening","OK"))))</f>
        <v/>
      </c>
    </row>
    <row r="165">
      <c r="Y165" s="13" t="n"/>
      <c r="Z165" s="13" t="n"/>
      <c r="AF165" s="13" t="n"/>
      <c r="AG165" s="12">
        <f>IF(A165="","",SUMIFS('Assessment Weights'!$D:$D,'Assessment Weights'!$A:$A,A165))</f>
        <v/>
      </c>
      <c r="AH165" s="12">
        <f>IF(A165="","",IF(COUNTIF($A$2:$A$1000,A165)&gt;1,"Duplicate Job ID",IF(AND(AG165&lt;&gt;100,AG165&lt;&gt;0),"Weights must total 100",IF(Z165-Y165&lt;7,"Closing date must be 7+ days after opening","OK"))))</f>
        <v/>
      </c>
    </row>
    <row r="166">
      <c r="Y166" s="13" t="n"/>
      <c r="Z166" s="13" t="n"/>
      <c r="AF166" s="13" t="n"/>
      <c r="AG166" s="12">
        <f>IF(A166="","",SUMIFS('Assessment Weights'!$D:$D,'Assessment Weights'!$A:$A,A166))</f>
        <v/>
      </c>
      <c r="AH166" s="12">
        <f>IF(A166="","",IF(COUNTIF($A$2:$A$1000,A166)&gt;1,"Duplicate Job ID",IF(AND(AG166&lt;&gt;100,AG166&lt;&gt;0),"Weights must total 100",IF(Z166-Y166&lt;7,"Closing date must be 7+ days after opening","OK"))))</f>
        <v/>
      </c>
    </row>
    <row r="167">
      <c r="Y167" s="13" t="n"/>
      <c r="Z167" s="13" t="n"/>
      <c r="AF167" s="13" t="n"/>
      <c r="AG167" s="12">
        <f>IF(A167="","",SUMIFS('Assessment Weights'!$D:$D,'Assessment Weights'!$A:$A,A167))</f>
        <v/>
      </c>
      <c r="AH167" s="12">
        <f>IF(A167="","",IF(COUNTIF($A$2:$A$1000,A167)&gt;1,"Duplicate Job ID",IF(AND(AG167&lt;&gt;100,AG167&lt;&gt;0),"Weights must total 100",IF(Z167-Y167&lt;7,"Closing date must be 7+ days after opening","OK"))))</f>
        <v/>
      </c>
    </row>
    <row r="168">
      <c r="Y168" s="13" t="n"/>
      <c r="Z168" s="13" t="n"/>
      <c r="AF168" s="13" t="n"/>
      <c r="AG168" s="12">
        <f>IF(A168="","",SUMIFS('Assessment Weights'!$D:$D,'Assessment Weights'!$A:$A,A168))</f>
        <v/>
      </c>
      <c r="AH168" s="12">
        <f>IF(A168="","",IF(COUNTIF($A$2:$A$1000,A168)&gt;1,"Duplicate Job ID",IF(AND(AG168&lt;&gt;100,AG168&lt;&gt;0),"Weights must total 100",IF(Z168-Y168&lt;7,"Closing date must be 7+ days after opening","OK"))))</f>
        <v/>
      </c>
    </row>
    <row r="169">
      <c r="Y169" s="13" t="n"/>
      <c r="Z169" s="13" t="n"/>
      <c r="AF169" s="13" t="n"/>
      <c r="AG169" s="12">
        <f>IF(A169="","",SUMIFS('Assessment Weights'!$D:$D,'Assessment Weights'!$A:$A,A169))</f>
        <v/>
      </c>
      <c r="AH169" s="12">
        <f>IF(A169="","",IF(COUNTIF($A$2:$A$1000,A169)&gt;1,"Duplicate Job ID",IF(AND(AG169&lt;&gt;100,AG169&lt;&gt;0),"Weights must total 100",IF(Z169-Y169&lt;7,"Closing date must be 7+ days after opening","OK"))))</f>
        <v/>
      </c>
    </row>
    <row r="170">
      <c r="Y170" s="13" t="n"/>
      <c r="Z170" s="13" t="n"/>
      <c r="AF170" s="13" t="n"/>
      <c r="AG170" s="12">
        <f>IF(A170="","",SUMIFS('Assessment Weights'!$D:$D,'Assessment Weights'!$A:$A,A170))</f>
        <v/>
      </c>
      <c r="AH170" s="12">
        <f>IF(A170="","",IF(COUNTIF($A$2:$A$1000,A170)&gt;1,"Duplicate Job ID",IF(AND(AG170&lt;&gt;100,AG170&lt;&gt;0),"Weights must total 100",IF(Z170-Y170&lt;7,"Closing date must be 7+ days after opening","OK"))))</f>
        <v/>
      </c>
    </row>
    <row r="171">
      <c r="Y171" s="13" t="n"/>
      <c r="Z171" s="13" t="n"/>
      <c r="AF171" s="13" t="n"/>
      <c r="AG171" s="12">
        <f>IF(A171="","",SUMIFS('Assessment Weights'!$D:$D,'Assessment Weights'!$A:$A,A171))</f>
        <v/>
      </c>
      <c r="AH171" s="12">
        <f>IF(A171="","",IF(COUNTIF($A$2:$A$1000,A171)&gt;1,"Duplicate Job ID",IF(AND(AG171&lt;&gt;100,AG171&lt;&gt;0),"Weights must total 100",IF(Z171-Y171&lt;7,"Closing date must be 7+ days after opening","OK"))))</f>
        <v/>
      </c>
    </row>
    <row r="172">
      <c r="Y172" s="13" t="n"/>
      <c r="Z172" s="13" t="n"/>
      <c r="AF172" s="13" t="n"/>
      <c r="AG172" s="12">
        <f>IF(A172="","",SUMIFS('Assessment Weights'!$D:$D,'Assessment Weights'!$A:$A,A172))</f>
        <v/>
      </c>
      <c r="AH172" s="12">
        <f>IF(A172="","",IF(COUNTIF($A$2:$A$1000,A172)&gt;1,"Duplicate Job ID",IF(AND(AG172&lt;&gt;100,AG172&lt;&gt;0),"Weights must total 100",IF(Z172-Y172&lt;7,"Closing date must be 7+ days after opening","OK"))))</f>
        <v/>
      </c>
    </row>
    <row r="173">
      <c r="Y173" s="13" t="n"/>
      <c r="Z173" s="13" t="n"/>
      <c r="AF173" s="13" t="n"/>
      <c r="AG173" s="12">
        <f>IF(A173="","",SUMIFS('Assessment Weights'!$D:$D,'Assessment Weights'!$A:$A,A173))</f>
        <v/>
      </c>
      <c r="AH173" s="12">
        <f>IF(A173="","",IF(COUNTIF($A$2:$A$1000,A173)&gt;1,"Duplicate Job ID",IF(AND(AG173&lt;&gt;100,AG173&lt;&gt;0),"Weights must total 100",IF(Z173-Y173&lt;7,"Closing date must be 7+ days after opening","OK"))))</f>
        <v/>
      </c>
    </row>
    <row r="174">
      <c r="Y174" s="13" t="n"/>
      <c r="Z174" s="13" t="n"/>
      <c r="AF174" s="13" t="n"/>
      <c r="AG174" s="12">
        <f>IF(A174="","",SUMIFS('Assessment Weights'!$D:$D,'Assessment Weights'!$A:$A,A174))</f>
        <v/>
      </c>
      <c r="AH174" s="12">
        <f>IF(A174="","",IF(COUNTIF($A$2:$A$1000,A174)&gt;1,"Duplicate Job ID",IF(AND(AG174&lt;&gt;100,AG174&lt;&gt;0),"Weights must total 100",IF(Z174-Y174&lt;7,"Closing date must be 7+ days after opening","OK"))))</f>
        <v/>
      </c>
    </row>
    <row r="175">
      <c r="Y175" s="13" t="n"/>
      <c r="Z175" s="13" t="n"/>
      <c r="AF175" s="13" t="n"/>
      <c r="AG175" s="12">
        <f>IF(A175="","",SUMIFS('Assessment Weights'!$D:$D,'Assessment Weights'!$A:$A,A175))</f>
        <v/>
      </c>
      <c r="AH175" s="12">
        <f>IF(A175="","",IF(COUNTIF($A$2:$A$1000,A175)&gt;1,"Duplicate Job ID",IF(AND(AG175&lt;&gt;100,AG175&lt;&gt;0),"Weights must total 100",IF(Z175-Y175&lt;7,"Closing date must be 7+ days after opening","OK"))))</f>
        <v/>
      </c>
    </row>
    <row r="176">
      <c r="Y176" s="13" t="n"/>
      <c r="Z176" s="13" t="n"/>
      <c r="AF176" s="13" t="n"/>
      <c r="AG176" s="12">
        <f>IF(A176="","",SUMIFS('Assessment Weights'!$D:$D,'Assessment Weights'!$A:$A,A176))</f>
        <v/>
      </c>
      <c r="AH176" s="12">
        <f>IF(A176="","",IF(COUNTIF($A$2:$A$1000,A176)&gt;1,"Duplicate Job ID",IF(AND(AG176&lt;&gt;100,AG176&lt;&gt;0),"Weights must total 100",IF(Z176-Y176&lt;7,"Closing date must be 7+ days after opening","OK"))))</f>
        <v/>
      </c>
    </row>
    <row r="177">
      <c r="Y177" s="13" t="n"/>
      <c r="Z177" s="13" t="n"/>
      <c r="AF177" s="13" t="n"/>
      <c r="AG177" s="12">
        <f>IF(A177="","",SUMIFS('Assessment Weights'!$D:$D,'Assessment Weights'!$A:$A,A177))</f>
        <v/>
      </c>
      <c r="AH177" s="12">
        <f>IF(A177="","",IF(COUNTIF($A$2:$A$1000,A177)&gt;1,"Duplicate Job ID",IF(AND(AG177&lt;&gt;100,AG177&lt;&gt;0),"Weights must total 100",IF(Z177-Y177&lt;7,"Closing date must be 7+ days after opening","OK"))))</f>
        <v/>
      </c>
    </row>
    <row r="178">
      <c r="Y178" s="13" t="n"/>
      <c r="Z178" s="13" t="n"/>
      <c r="AF178" s="13" t="n"/>
      <c r="AG178" s="12">
        <f>IF(A178="","",SUMIFS('Assessment Weights'!$D:$D,'Assessment Weights'!$A:$A,A178))</f>
        <v/>
      </c>
      <c r="AH178" s="12">
        <f>IF(A178="","",IF(COUNTIF($A$2:$A$1000,A178)&gt;1,"Duplicate Job ID",IF(AND(AG178&lt;&gt;100,AG178&lt;&gt;0),"Weights must total 100",IF(Z178-Y178&lt;7,"Closing date must be 7+ days after opening","OK"))))</f>
        <v/>
      </c>
    </row>
    <row r="179">
      <c r="Y179" s="13" t="n"/>
      <c r="Z179" s="13" t="n"/>
      <c r="AF179" s="13" t="n"/>
      <c r="AG179" s="12">
        <f>IF(A179="","",SUMIFS('Assessment Weights'!$D:$D,'Assessment Weights'!$A:$A,A179))</f>
        <v/>
      </c>
      <c r="AH179" s="12">
        <f>IF(A179="","",IF(COUNTIF($A$2:$A$1000,A179)&gt;1,"Duplicate Job ID",IF(AND(AG179&lt;&gt;100,AG179&lt;&gt;0),"Weights must total 100",IF(Z179-Y179&lt;7,"Closing date must be 7+ days after opening","OK"))))</f>
        <v/>
      </c>
    </row>
    <row r="180">
      <c r="Y180" s="13" t="n"/>
      <c r="Z180" s="13" t="n"/>
      <c r="AF180" s="13" t="n"/>
      <c r="AG180" s="12">
        <f>IF(A180="","",SUMIFS('Assessment Weights'!$D:$D,'Assessment Weights'!$A:$A,A180))</f>
        <v/>
      </c>
      <c r="AH180" s="12">
        <f>IF(A180="","",IF(COUNTIF($A$2:$A$1000,A180)&gt;1,"Duplicate Job ID",IF(AND(AG180&lt;&gt;100,AG180&lt;&gt;0),"Weights must total 100",IF(Z180-Y180&lt;7,"Closing date must be 7+ days after opening","OK"))))</f>
        <v/>
      </c>
    </row>
    <row r="181">
      <c r="Y181" s="13" t="n"/>
      <c r="Z181" s="13" t="n"/>
      <c r="AF181" s="13" t="n"/>
      <c r="AG181" s="12">
        <f>IF(A181="","",SUMIFS('Assessment Weights'!$D:$D,'Assessment Weights'!$A:$A,A181))</f>
        <v/>
      </c>
      <c r="AH181" s="12">
        <f>IF(A181="","",IF(COUNTIF($A$2:$A$1000,A181)&gt;1,"Duplicate Job ID",IF(AND(AG181&lt;&gt;100,AG181&lt;&gt;0),"Weights must total 100",IF(Z181-Y181&lt;7,"Closing date must be 7+ days after opening","OK"))))</f>
        <v/>
      </c>
    </row>
    <row r="182">
      <c r="Y182" s="13" t="n"/>
      <c r="Z182" s="13" t="n"/>
      <c r="AF182" s="13" t="n"/>
      <c r="AG182" s="12">
        <f>IF(A182="","",SUMIFS('Assessment Weights'!$D:$D,'Assessment Weights'!$A:$A,A182))</f>
        <v/>
      </c>
      <c r="AH182" s="12">
        <f>IF(A182="","",IF(COUNTIF($A$2:$A$1000,A182)&gt;1,"Duplicate Job ID",IF(AND(AG182&lt;&gt;100,AG182&lt;&gt;0),"Weights must total 100",IF(Z182-Y182&lt;7,"Closing date must be 7+ days after opening","OK"))))</f>
        <v/>
      </c>
    </row>
    <row r="183">
      <c r="Y183" s="13" t="n"/>
      <c r="Z183" s="13" t="n"/>
      <c r="AF183" s="13" t="n"/>
      <c r="AG183" s="12">
        <f>IF(A183="","",SUMIFS('Assessment Weights'!$D:$D,'Assessment Weights'!$A:$A,A183))</f>
        <v/>
      </c>
      <c r="AH183" s="12">
        <f>IF(A183="","",IF(COUNTIF($A$2:$A$1000,A183)&gt;1,"Duplicate Job ID",IF(AND(AG183&lt;&gt;100,AG183&lt;&gt;0),"Weights must total 100",IF(Z183-Y183&lt;7,"Closing date must be 7+ days after opening","OK"))))</f>
        <v/>
      </c>
    </row>
    <row r="184">
      <c r="Y184" s="13" t="n"/>
      <c r="Z184" s="13" t="n"/>
      <c r="AF184" s="13" t="n"/>
      <c r="AG184" s="12">
        <f>IF(A184="","",SUMIFS('Assessment Weights'!$D:$D,'Assessment Weights'!$A:$A,A184))</f>
        <v/>
      </c>
      <c r="AH184" s="12">
        <f>IF(A184="","",IF(COUNTIF($A$2:$A$1000,A184)&gt;1,"Duplicate Job ID",IF(AND(AG184&lt;&gt;100,AG184&lt;&gt;0),"Weights must total 100",IF(Z184-Y184&lt;7,"Closing date must be 7+ days after opening","OK"))))</f>
        <v/>
      </c>
    </row>
    <row r="185">
      <c r="Y185" s="13" t="n"/>
      <c r="Z185" s="13" t="n"/>
      <c r="AF185" s="13" t="n"/>
      <c r="AG185" s="12">
        <f>IF(A185="","",SUMIFS('Assessment Weights'!$D:$D,'Assessment Weights'!$A:$A,A185))</f>
        <v/>
      </c>
      <c r="AH185" s="12">
        <f>IF(A185="","",IF(COUNTIF($A$2:$A$1000,A185)&gt;1,"Duplicate Job ID",IF(AND(AG185&lt;&gt;100,AG185&lt;&gt;0),"Weights must total 100",IF(Z185-Y185&lt;7,"Closing date must be 7+ days after opening","OK"))))</f>
        <v/>
      </c>
    </row>
    <row r="186">
      <c r="Y186" s="13" t="n"/>
      <c r="Z186" s="13" t="n"/>
      <c r="AF186" s="13" t="n"/>
      <c r="AG186" s="12">
        <f>IF(A186="","",SUMIFS('Assessment Weights'!$D:$D,'Assessment Weights'!$A:$A,A186))</f>
        <v/>
      </c>
      <c r="AH186" s="12">
        <f>IF(A186="","",IF(COUNTIF($A$2:$A$1000,A186)&gt;1,"Duplicate Job ID",IF(AND(AG186&lt;&gt;100,AG186&lt;&gt;0),"Weights must total 100",IF(Z186-Y186&lt;7,"Closing date must be 7+ days after opening","OK"))))</f>
        <v/>
      </c>
    </row>
    <row r="187">
      <c r="Y187" s="13" t="n"/>
      <c r="Z187" s="13" t="n"/>
      <c r="AF187" s="13" t="n"/>
      <c r="AG187" s="12">
        <f>IF(A187="","",SUMIFS('Assessment Weights'!$D:$D,'Assessment Weights'!$A:$A,A187))</f>
        <v/>
      </c>
      <c r="AH187" s="12">
        <f>IF(A187="","",IF(COUNTIF($A$2:$A$1000,A187)&gt;1,"Duplicate Job ID",IF(AND(AG187&lt;&gt;100,AG187&lt;&gt;0),"Weights must total 100",IF(Z187-Y187&lt;7,"Closing date must be 7+ days after opening","OK"))))</f>
        <v/>
      </c>
    </row>
    <row r="188">
      <c r="Y188" s="13" t="n"/>
      <c r="Z188" s="13" t="n"/>
      <c r="AF188" s="13" t="n"/>
      <c r="AG188" s="12">
        <f>IF(A188="","",SUMIFS('Assessment Weights'!$D:$D,'Assessment Weights'!$A:$A,A188))</f>
        <v/>
      </c>
      <c r="AH188" s="12">
        <f>IF(A188="","",IF(COUNTIF($A$2:$A$1000,A188)&gt;1,"Duplicate Job ID",IF(AND(AG188&lt;&gt;100,AG188&lt;&gt;0),"Weights must total 100",IF(Z188-Y188&lt;7,"Closing date must be 7+ days after opening","OK"))))</f>
        <v/>
      </c>
    </row>
    <row r="189">
      <c r="Y189" s="13" t="n"/>
      <c r="Z189" s="13" t="n"/>
      <c r="AF189" s="13" t="n"/>
      <c r="AG189" s="12">
        <f>IF(A189="","",SUMIFS('Assessment Weights'!$D:$D,'Assessment Weights'!$A:$A,A189))</f>
        <v/>
      </c>
      <c r="AH189" s="12">
        <f>IF(A189="","",IF(COUNTIF($A$2:$A$1000,A189)&gt;1,"Duplicate Job ID",IF(AND(AG189&lt;&gt;100,AG189&lt;&gt;0),"Weights must total 100",IF(Z189-Y189&lt;7,"Closing date must be 7+ days after opening","OK"))))</f>
        <v/>
      </c>
    </row>
    <row r="190">
      <c r="Y190" s="13" t="n"/>
      <c r="Z190" s="13" t="n"/>
      <c r="AF190" s="13" t="n"/>
      <c r="AG190" s="12">
        <f>IF(A190="","",SUMIFS('Assessment Weights'!$D:$D,'Assessment Weights'!$A:$A,A190))</f>
        <v/>
      </c>
      <c r="AH190" s="12">
        <f>IF(A190="","",IF(COUNTIF($A$2:$A$1000,A190)&gt;1,"Duplicate Job ID",IF(AND(AG190&lt;&gt;100,AG190&lt;&gt;0),"Weights must total 100",IF(Z190-Y190&lt;7,"Closing date must be 7+ days after opening","OK"))))</f>
        <v/>
      </c>
    </row>
    <row r="191">
      <c r="Y191" s="13" t="n"/>
      <c r="Z191" s="13" t="n"/>
      <c r="AF191" s="13" t="n"/>
      <c r="AG191" s="12">
        <f>IF(A191="","",SUMIFS('Assessment Weights'!$D:$D,'Assessment Weights'!$A:$A,A191))</f>
        <v/>
      </c>
      <c r="AH191" s="12">
        <f>IF(A191="","",IF(COUNTIF($A$2:$A$1000,A191)&gt;1,"Duplicate Job ID",IF(AND(AG191&lt;&gt;100,AG191&lt;&gt;0),"Weights must total 100",IF(Z191-Y191&lt;7,"Closing date must be 7+ days after opening","OK"))))</f>
        <v/>
      </c>
    </row>
    <row r="192">
      <c r="Y192" s="13" t="n"/>
      <c r="Z192" s="13" t="n"/>
      <c r="AF192" s="13" t="n"/>
      <c r="AG192" s="12">
        <f>IF(A192="","",SUMIFS('Assessment Weights'!$D:$D,'Assessment Weights'!$A:$A,A192))</f>
        <v/>
      </c>
      <c r="AH192" s="12">
        <f>IF(A192="","",IF(COUNTIF($A$2:$A$1000,A192)&gt;1,"Duplicate Job ID",IF(AND(AG192&lt;&gt;100,AG192&lt;&gt;0),"Weights must total 100",IF(Z192-Y192&lt;7,"Closing date must be 7+ days after opening","OK"))))</f>
        <v/>
      </c>
    </row>
    <row r="193">
      <c r="Y193" s="13" t="n"/>
      <c r="Z193" s="13" t="n"/>
      <c r="AF193" s="13" t="n"/>
      <c r="AG193" s="12">
        <f>IF(A193="","",SUMIFS('Assessment Weights'!$D:$D,'Assessment Weights'!$A:$A,A193))</f>
        <v/>
      </c>
      <c r="AH193" s="12">
        <f>IF(A193="","",IF(COUNTIF($A$2:$A$1000,A193)&gt;1,"Duplicate Job ID",IF(AND(AG193&lt;&gt;100,AG193&lt;&gt;0),"Weights must total 100",IF(Z193-Y193&lt;7,"Closing date must be 7+ days after opening","OK"))))</f>
        <v/>
      </c>
    </row>
    <row r="194">
      <c r="Y194" s="13" t="n"/>
      <c r="Z194" s="13" t="n"/>
      <c r="AF194" s="13" t="n"/>
      <c r="AG194" s="12">
        <f>IF(A194="","",SUMIFS('Assessment Weights'!$D:$D,'Assessment Weights'!$A:$A,A194))</f>
        <v/>
      </c>
      <c r="AH194" s="12">
        <f>IF(A194="","",IF(COUNTIF($A$2:$A$1000,A194)&gt;1,"Duplicate Job ID",IF(AND(AG194&lt;&gt;100,AG194&lt;&gt;0),"Weights must total 100",IF(Z194-Y194&lt;7,"Closing date must be 7+ days after opening","OK"))))</f>
        <v/>
      </c>
    </row>
    <row r="195">
      <c r="Y195" s="13" t="n"/>
      <c r="Z195" s="13" t="n"/>
      <c r="AF195" s="13" t="n"/>
      <c r="AG195" s="12">
        <f>IF(A195="","",SUMIFS('Assessment Weights'!$D:$D,'Assessment Weights'!$A:$A,A195))</f>
        <v/>
      </c>
      <c r="AH195" s="12">
        <f>IF(A195="","",IF(COUNTIF($A$2:$A$1000,A195)&gt;1,"Duplicate Job ID",IF(AND(AG195&lt;&gt;100,AG195&lt;&gt;0),"Weights must total 100",IF(Z195-Y195&lt;7,"Closing date must be 7+ days after opening","OK"))))</f>
        <v/>
      </c>
    </row>
    <row r="196">
      <c r="Y196" s="13" t="n"/>
      <c r="Z196" s="13" t="n"/>
      <c r="AF196" s="13" t="n"/>
      <c r="AG196" s="12">
        <f>IF(A196="","",SUMIFS('Assessment Weights'!$D:$D,'Assessment Weights'!$A:$A,A196))</f>
        <v/>
      </c>
      <c r="AH196" s="12">
        <f>IF(A196="","",IF(COUNTIF($A$2:$A$1000,A196)&gt;1,"Duplicate Job ID",IF(AND(AG196&lt;&gt;100,AG196&lt;&gt;0),"Weights must total 100",IF(Z196-Y196&lt;7,"Closing date must be 7+ days after opening","OK"))))</f>
        <v/>
      </c>
    </row>
    <row r="197">
      <c r="Y197" s="13" t="n"/>
      <c r="Z197" s="13" t="n"/>
      <c r="AF197" s="13" t="n"/>
      <c r="AG197" s="12">
        <f>IF(A197="","",SUMIFS('Assessment Weights'!$D:$D,'Assessment Weights'!$A:$A,A197))</f>
        <v/>
      </c>
      <c r="AH197" s="12">
        <f>IF(A197="","",IF(COUNTIF($A$2:$A$1000,A197)&gt;1,"Duplicate Job ID",IF(AND(AG197&lt;&gt;100,AG197&lt;&gt;0),"Weights must total 100",IF(Z197-Y197&lt;7,"Closing date must be 7+ days after opening","OK"))))</f>
        <v/>
      </c>
    </row>
    <row r="198">
      <c r="Y198" s="13" t="n"/>
      <c r="Z198" s="13" t="n"/>
      <c r="AF198" s="13" t="n"/>
      <c r="AG198" s="12">
        <f>IF(A198="","",SUMIFS('Assessment Weights'!$D:$D,'Assessment Weights'!$A:$A,A198))</f>
        <v/>
      </c>
      <c r="AH198" s="12">
        <f>IF(A198="","",IF(COUNTIF($A$2:$A$1000,A198)&gt;1,"Duplicate Job ID",IF(AND(AG198&lt;&gt;100,AG198&lt;&gt;0),"Weights must total 100",IF(Z198-Y198&lt;7,"Closing date must be 7+ days after opening","OK"))))</f>
        <v/>
      </c>
    </row>
    <row r="199">
      <c r="Y199" s="13" t="n"/>
      <c r="Z199" s="13" t="n"/>
      <c r="AF199" s="13" t="n"/>
      <c r="AG199" s="12">
        <f>IF(A199="","",SUMIFS('Assessment Weights'!$D:$D,'Assessment Weights'!$A:$A,A199))</f>
        <v/>
      </c>
      <c r="AH199" s="12">
        <f>IF(A199="","",IF(COUNTIF($A$2:$A$1000,A199)&gt;1,"Duplicate Job ID",IF(AND(AG199&lt;&gt;100,AG199&lt;&gt;0),"Weights must total 100",IF(Z199-Y199&lt;7,"Closing date must be 7+ days after opening","OK"))))</f>
        <v/>
      </c>
    </row>
    <row r="200">
      <c r="Y200" s="13" t="n"/>
      <c r="Z200" s="13" t="n"/>
      <c r="AF200" s="13" t="n"/>
      <c r="AG200" s="12">
        <f>IF(A200="","",SUMIFS('Assessment Weights'!$D:$D,'Assessment Weights'!$A:$A,A200))</f>
        <v/>
      </c>
      <c r="AH200" s="12">
        <f>IF(A200="","",IF(COUNTIF($A$2:$A$1000,A200)&gt;1,"Duplicate Job ID",IF(AND(AG200&lt;&gt;100,AG200&lt;&gt;0),"Weights must total 100",IF(Z200-Y200&lt;7,"Closing date must be 7+ days after opening","OK"))))</f>
        <v/>
      </c>
    </row>
    <row r="201">
      <c r="Y201" s="13" t="n"/>
      <c r="Z201" s="13" t="n"/>
      <c r="AF201" s="13" t="n"/>
      <c r="AG201" s="12">
        <f>IF(A201="","",SUMIFS('Assessment Weights'!$D:$D,'Assessment Weights'!$A:$A,A201))</f>
        <v/>
      </c>
      <c r="AH201" s="12">
        <f>IF(A201="","",IF(COUNTIF($A$2:$A$1000,A201)&gt;1,"Duplicate Job ID",IF(AND(AG201&lt;&gt;100,AG201&lt;&gt;0),"Weights must total 100",IF(Z201-Y201&lt;7,"Closing date must be 7+ days after opening","OK"))))</f>
        <v/>
      </c>
    </row>
    <row r="202">
      <c r="Y202" s="13" t="n"/>
      <c r="Z202" s="13" t="n"/>
      <c r="AF202" s="13" t="n"/>
      <c r="AG202" s="12">
        <f>IF(A202="","",SUMIFS('Assessment Weights'!$D:$D,'Assessment Weights'!$A:$A,A202))</f>
        <v/>
      </c>
      <c r="AH202" s="12">
        <f>IF(A202="","",IF(COUNTIF($A$2:$A$1000,A202)&gt;1,"Duplicate Job ID",IF(AND(AG202&lt;&gt;100,AG202&lt;&gt;0),"Weights must total 100",IF(Z202-Y202&lt;7,"Closing date must be 7+ days after opening","OK"))))</f>
        <v/>
      </c>
    </row>
    <row r="203">
      <c r="Y203" s="13" t="n"/>
      <c r="Z203" s="13" t="n"/>
      <c r="AF203" s="13" t="n"/>
      <c r="AG203" s="12">
        <f>IF(A203="","",SUMIFS('Assessment Weights'!$D:$D,'Assessment Weights'!$A:$A,A203))</f>
        <v/>
      </c>
      <c r="AH203" s="12">
        <f>IF(A203="","",IF(COUNTIF($A$2:$A$1000,A203)&gt;1,"Duplicate Job ID",IF(AND(AG203&lt;&gt;100,AG203&lt;&gt;0),"Weights must total 100",IF(Z203-Y203&lt;7,"Closing date must be 7+ days after opening","OK"))))</f>
        <v/>
      </c>
    </row>
    <row r="204">
      <c r="Y204" s="13" t="n"/>
      <c r="Z204" s="13" t="n"/>
      <c r="AF204" s="13" t="n"/>
      <c r="AG204" s="12">
        <f>IF(A204="","",SUMIFS('Assessment Weights'!$D:$D,'Assessment Weights'!$A:$A,A204))</f>
        <v/>
      </c>
      <c r="AH204" s="12">
        <f>IF(A204="","",IF(COUNTIF($A$2:$A$1000,A204)&gt;1,"Duplicate Job ID",IF(AND(AG204&lt;&gt;100,AG204&lt;&gt;0),"Weights must total 100",IF(Z204-Y204&lt;7,"Closing date must be 7+ days after opening","OK"))))</f>
        <v/>
      </c>
    </row>
    <row r="205">
      <c r="Y205" s="13" t="n"/>
      <c r="Z205" s="13" t="n"/>
      <c r="AF205" s="13" t="n"/>
      <c r="AG205" s="12">
        <f>IF(A205="","",SUMIFS('Assessment Weights'!$D:$D,'Assessment Weights'!$A:$A,A205))</f>
        <v/>
      </c>
      <c r="AH205" s="12">
        <f>IF(A205="","",IF(COUNTIF($A$2:$A$1000,A205)&gt;1,"Duplicate Job ID",IF(AND(AG205&lt;&gt;100,AG205&lt;&gt;0),"Weights must total 100",IF(Z205-Y205&lt;7,"Closing date must be 7+ days after opening","OK"))))</f>
        <v/>
      </c>
    </row>
    <row r="206">
      <c r="Y206" s="13" t="n"/>
      <c r="Z206" s="13" t="n"/>
      <c r="AF206" s="13" t="n"/>
      <c r="AG206" s="12">
        <f>IF(A206="","",SUMIFS('Assessment Weights'!$D:$D,'Assessment Weights'!$A:$A,A206))</f>
        <v/>
      </c>
      <c r="AH206" s="12">
        <f>IF(A206="","",IF(COUNTIF($A$2:$A$1000,A206)&gt;1,"Duplicate Job ID",IF(AND(AG206&lt;&gt;100,AG206&lt;&gt;0),"Weights must total 100",IF(Z206-Y206&lt;7,"Closing date must be 7+ days after opening","OK"))))</f>
        <v/>
      </c>
    </row>
    <row r="207">
      <c r="Y207" s="13" t="n"/>
      <c r="Z207" s="13" t="n"/>
      <c r="AF207" s="13" t="n"/>
      <c r="AG207" s="12">
        <f>IF(A207="","",SUMIFS('Assessment Weights'!$D:$D,'Assessment Weights'!$A:$A,A207))</f>
        <v/>
      </c>
      <c r="AH207" s="12">
        <f>IF(A207="","",IF(COUNTIF($A$2:$A$1000,A207)&gt;1,"Duplicate Job ID",IF(AND(AG207&lt;&gt;100,AG207&lt;&gt;0),"Weights must total 100",IF(Z207-Y207&lt;7,"Closing date must be 7+ days after opening","OK"))))</f>
        <v/>
      </c>
    </row>
    <row r="208">
      <c r="Y208" s="13" t="n"/>
      <c r="Z208" s="13" t="n"/>
      <c r="AF208" s="13" t="n"/>
      <c r="AG208" s="12">
        <f>IF(A208="","",SUMIFS('Assessment Weights'!$D:$D,'Assessment Weights'!$A:$A,A208))</f>
        <v/>
      </c>
      <c r="AH208" s="12">
        <f>IF(A208="","",IF(COUNTIF($A$2:$A$1000,A208)&gt;1,"Duplicate Job ID",IF(AND(AG208&lt;&gt;100,AG208&lt;&gt;0),"Weights must total 100",IF(Z208-Y208&lt;7,"Closing date must be 7+ days after opening","OK"))))</f>
        <v/>
      </c>
    </row>
    <row r="209">
      <c r="Y209" s="13" t="n"/>
      <c r="Z209" s="13" t="n"/>
      <c r="AF209" s="13" t="n"/>
      <c r="AG209" s="12">
        <f>IF(A209="","",SUMIFS('Assessment Weights'!$D:$D,'Assessment Weights'!$A:$A,A209))</f>
        <v/>
      </c>
      <c r="AH209" s="12">
        <f>IF(A209="","",IF(COUNTIF($A$2:$A$1000,A209)&gt;1,"Duplicate Job ID",IF(AND(AG209&lt;&gt;100,AG209&lt;&gt;0),"Weights must total 100",IF(Z209-Y209&lt;7,"Closing date must be 7+ days after opening","OK"))))</f>
        <v/>
      </c>
    </row>
    <row r="210">
      <c r="Y210" s="13" t="n"/>
      <c r="Z210" s="13" t="n"/>
      <c r="AF210" s="13" t="n"/>
      <c r="AG210" s="12">
        <f>IF(A210="","",SUMIFS('Assessment Weights'!$D:$D,'Assessment Weights'!$A:$A,A210))</f>
        <v/>
      </c>
      <c r="AH210" s="12">
        <f>IF(A210="","",IF(COUNTIF($A$2:$A$1000,A210)&gt;1,"Duplicate Job ID",IF(AND(AG210&lt;&gt;100,AG210&lt;&gt;0),"Weights must total 100",IF(Z210-Y210&lt;7,"Closing date must be 7+ days after opening","OK"))))</f>
        <v/>
      </c>
    </row>
    <row r="211">
      <c r="Y211" s="13" t="n"/>
      <c r="Z211" s="13" t="n"/>
      <c r="AF211" s="13" t="n"/>
      <c r="AG211" s="12">
        <f>IF(A211="","",SUMIFS('Assessment Weights'!$D:$D,'Assessment Weights'!$A:$A,A211))</f>
        <v/>
      </c>
      <c r="AH211" s="12">
        <f>IF(A211="","",IF(COUNTIF($A$2:$A$1000,A211)&gt;1,"Duplicate Job ID",IF(AND(AG211&lt;&gt;100,AG211&lt;&gt;0),"Weights must total 100",IF(Z211-Y211&lt;7,"Closing date must be 7+ days after opening","OK"))))</f>
        <v/>
      </c>
    </row>
    <row r="212">
      <c r="Y212" s="13" t="n"/>
      <c r="Z212" s="13" t="n"/>
      <c r="AF212" s="13" t="n"/>
      <c r="AG212" s="12">
        <f>IF(A212="","",SUMIFS('Assessment Weights'!$D:$D,'Assessment Weights'!$A:$A,A212))</f>
        <v/>
      </c>
      <c r="AH212" s="12">
        <f>IF(A212="","",IF(COUNTIF($A$2:$A$1000,A212)&gt;1,"Duplicate Job ID",IF(AND(AG212&lt;&gt;100,AG212&lt;&gt;0),"Weights must total 100",IF(Z212-Y212&lt;7,"Closing date must be 7+ days after opening","OK"))))</f>
        <v/>
      </c>
    </row>
    <row r="213">
      <c r="Y213" s="13" t="n"/>
      <c r="Z213" s="13" t="n"/>
      <c r="AF213" s="13" t="n"/>
      <c r="AG213" s="12">
        <f>IF(A213="","",SUMIFS('Assessment Weights'!$D:$D,'Assessment Weights'!$A:$A,A213))</f>
        <v/>
      </c>
      <c r="AH213" s="12">
        <f>IF(A213="","",IF(COUNTIF($A$2:$A$1000,A213)&gt;1,"Duplicate Job ID",IF(AND(AG213&lt;&gt;100,AG213&lt;&gt;0),"Weights must total 100",IF(Z213-Y213&lt;7,"Closing date must be 7+ days after opening","OK"))))</f>
        <v/>
      </c>
    </row>
    <row r="214">
      <c r="Y214" s="13" t="n"/>
      <c r="Z214" s="13" t="n"/>
      <c r="AF214" s="13" t="n"/>
      <c r="AG214" s="12">
        <f>IF(A214="","",SUMIFS('Assessment Weights'!$D:$D,'Assessment Weights'!$A:$A,A214))</f>
        <v/>
      </c>
      <c r="AH214" s="12">
        <f>IF(A214="","",IF(COUNTIF($A$2:$A$1000,A214)&gt;1,"Duplicate Job ID",IF(AND(AG214&lt;&gt;100,AG214&lt;&gt;0),"Weights must total 100",IF(Z214-Y214&lt;7,"Closing date must be 7+ days after opening","OK"))))</f>
        <v/>
      </c>
    </row>
    <row r="215">
      <c r="Y215" s="13" t="n"/>
      <c r="Z215" s="13" t="n"/>
      <c r="AF215" s="13" t="n"/>
      <c r="AG215" s="12">
        <f>IF(A215="","",SUMIFS('Assessment Weights'!$D:$D,'Assessment Weights'!$A:$A,A215))</f>
        <v/>
      </c>
      <c r="AH215" s="12">
        <f>IF(A215="","",IF(COUNTIF($A$2:$A$1000,A215)&gt;1,"Duplicate Job ID",IF(AND(AG215&lt;&gt;100,AG215&lt;&gt;0),"Weights must total 100",IF(Z215-Y215&lt;7,"Closing date must be 7+ days after opening","OK"))))</f>
        <v/>
      </c>
    </row>
    <row r="216">
      <c r="Y216" s="13" t="n"/>
      <c r="Z216" s="13" t="n"/>
      <c r="AF216" s="13" t="n"/>
      <c r="AG216" s="12">
        <f>IF(A216="","",SUMIFS('Assessment Weights'!$D:$D,'Assessment Weights'!$A:$A,A216))</f>
        <v/>
      </c>
      <c r="AH216" s="12">
        <f>IF(A216="","",IF(COUNTIF($A$2:$A$1000,A216)&gt;1,"Duplicate Job ID",IF(AND(AG216&lt;&gt;100,AG216&lt;&gt;0),"Weights must total 100",IF(Z216-Y216&lt;7,"Closing date must be 7+ days after opening","OK"))))</f>
        <v/>
      </c>
    </row>
    <row r="217">
      <c r="Y217" s="13" t="n"/>
      <c r="Z217" s="13" t="n"/>
      <c r="AF217" s="13" t="n"/>
      <c r="AG217" s="12">
        <f>IF(A217="","",SUMIFS('Assessment Weights'!$D:$D,'Assessment Weights'!$A:$A,A217))</f>
        <v/>
      </c>
      <c r="AH217" s="12">
        <f>IF(A217="","",IF(COUNTIF($A$2:$A$1000,A217)&gt;1,"Duplicate Job ID",IF(AND(AG217&lt;&gt;100,AG217&lt;&gt;0),"Weights must total 100",IF(Z217-Y217&lt;7,"Closing date must be 7+ days after opening","OK"))))</f>
        <v/>
      </c>
    </row>
    <row r="218">
      <c r="Y218" s="13" t="n"/>
      <c r="Z218" s="13" t="n"/>
      <c r="AF218" s="13" t="n"/>
      <c r="AG218" s="12">
        <f>IF(A218="","",SUMIFS('Assessment Weights'!$D:$D,'Assessment Weights'!$A:$A,A218))</f>
        <v/>
      </c>
      <c r="AH218" s="12">
        <f>IF(A218="","",IF(COUNTIF($A$2:$A$1000,A218)&gt;1,"Duplicate Job ID",IF(AND(AG218&lt;&gt;100,AG218&lt;&gt;0),"Weights must total 100",IF(Z218-Y218&lt;7,"Closing date must be 7+ days after opening","OK"))))</f>
        <v/>
      </c>
    </row>
    <row r="219">
      <c r="Y219" s="13" t="n"/>
      <c r="Z219" s="13" t="n"/>
      <c r="AF219" s="13" t="n"/>
      <c r="AG219" s="12">
        <f>IF(A219="","",SUMIFS('Assessment Weights'!$D:$D,'Assessment Weights'!$A:$A,A219))</f>
        <v/>
      </c>
      <c r="AH219" s="12">
        <f>IF(A219="","",IF(COUNTIF($A$2:$A$1000,A219)&gt;1,"Duplicate Job ID",IF(AND(AG219&lt;&gt;100,AG219&lt;&gt;0),"Weights must total 100",IF(Z219-Y219&lt;7,"Closing date must be 7+ days after opening","OK"))))</f>
        <v/>
      </c>
    </row>
    <row r="220">
      <c r="Y220" s="13" t="n"/>
      <c r="Z220" s="13" t="n"/>
      <c r="AF220" s="13" t="n"/>
      <c r="AG220" s="12">
        <f>IF(A220="","",SUMIFS('Assessment Weights'!$D:$D,'Assessment Weights'!$A:$A,A220))</f>
        <v/>
      </c>
      <c r="AH220" s="12">
        <f>IF(A220="","",IF(COUNTIF($A$2:$A$1000,A220)&gt;1,"Duplicate Job ID",IF(AND(AG220&lt;&gt;100,AG220&lt;&gt;0),"Weights must total 100",IF(Z220-Y220&lt;7,"Closing date must be 7+ days after opening","OK"))))</f>
        <v/>
      </c>
    </row>
    <row r="221">
      <c r="Y221" s="13" t="n"/>
      <c r="Z221" s="13" t="n"/>
      <c r="AF221" s="13" t="n"/>
      <c r="AG221" s="12">
        <f>IF(A221="","",SUMIFS('Assessment Weights'!$D:$D,'Assessment Weights'!$A:$A,A221))</f>
        <v/>
      </c>
      <c r="AH221" s="12">
        <f>IF(A221="","",IF(COUNTIF($A$2:$A$1000,A221)&gt;1,"Duplicate Job ID",IF(AND(AG221&lt;&gt;100,AG221&lt;&gt;0),"Weights must total 100",IF(Z221-Y221&lt;7,"Closing date must be 7+ days after opening","OK"))))</f>
        <v/>
      </c>
    </row>
    <row r="222">
      <c r="Y222" s="13" t="n"/>
      <c r="Z222" s="13" t="n"/>
      <c r="AF222" s="13" t="n"/>
      <c r="AG222" s="12">
        <f>IF(A222="","",SUMIFS('Assessment Weights'!$D:$D,'Assessment Weights'!$A:$A,A222))</f>
        <v/>
      </c>
      <c r="AH222" s="12">
        <f>IF(A222="","",IF(COUNTIF($A$2:$A$1000,A222)&gt;1,"Duplicate Job ID",IF(AND(AG222&lt;&gt;100,AG222&lt;&gt;0),"Weights must total 100",IF(Z222-Y222&lt;7,"Closing date must be 7+ days after opening","OK"))))</f>
        <v/>
      </c>
    </row>
    <row r="223">
      <c r="Y223" s="13" t="n"/>
      <c r="Z223" s="13" t="n"/>
      <c r="AF223" s="13" t="n"/>
      <c r="AG223" s="12">
        <f>IF(A223="","",SUMIFS('Assessment Weights'!$D:$D,'Assessment Weights'!$A:$A,A223))</f>
        <v/>
      </c>
      <c r="AH223" s="12">
        <f>IF(A223="","",IF(COUNTIF($A$2:$A$1000,A223)&gt;1,"Duplicate Job ID",IF(AND(AG223&lt;&gt;100,AG223&lt;&gt;0),"Weights must total 100",IF(Z223-Y223&lt;7,"Closing date must be 7+ days after opening","OK"))))</f>
        <v/>
      </c>
    </row>
    <row r="224">
      <c r="Y224" s="13" t="n"/>
      <c r="Z224" s="13" t="n"/>
      <c r="AF224" s="13" t="n"/>
      <c r="AG224" s="12">
        <f>IF(A224="","",SUMIFS('Assessment Weights'!$D:$D,'Assessment Weights'!$A:$A,A224))</f>
        <v/>
      </c>
      <c r="AH224" s="12">
        <f>IF(A224="","",IF(COUNTIF($A$2:$A$1000,A224)&gt;1,"Duplicate Job ID",IF(AND(AG224&lt;&gt;100,AG224&lt;&gt;0),"Weights must total 100",IF(Z224-Y224&lt;7,"Closing date must be 7+ days after opening","OK"))))</f>
        <v/>
      </c>
    </row>
    <row r="225">
      <c r="Y225" s="13" t="n"/>
      <c r="Z225" s="13" t="n"/>
      <c r="AF225" s="13" t="n"/>
      <c r="AG225" s="12">
        <f>IF(A225="","",SUMIFS('Assessment Weights'!$D:$D,'Assessment Weights'!$A:$A,A225))</f>
        <v/>
      </c>
      <c r="AH225" s="12">
        <f>IF(A225="","",IF(COUNTIF($A$2:$A$1000,A225)&gt;1,"Duplicate Job ID",IF(AND(AG225&lt;&gt;100,AG225&lt;&gt;0),"Weights must total 100",IF(Z225-Y225&lt;7,"Closing date must be 7+ days after opening","OK"))))</f>
        <v/>
      </c>
    </row>
    <row r="226">
      <c r="Y226" s="13" t="n"/>
      <c r="Z226" s="13" t="n"/>
      <c r="AF226" s="13" t="n"/>
      <c r="AG226" s="12">
        <f>IF(A226="","",SUMIFS('Assessment Weights'!$D:$D,'Assessment Weights'!$A:$A,A226))</f>
        <v/>
      </c>
      <c r="AH226" s="12">
        <f>IF(A226="","",IF(COUNTIF($A$2:$A$1000,A226)&gt;1,"Duplicate Job ID",IF(AND(AG226&lt;&gt;100,AG226&lt;&gt;0),"Weights must total 100",IF(Z226-Y226&lt;7,"Closing date must be 7+ days after opening","OK"))))</f>
        <v/>
      </c>
    </row>
    <row r="227">
      <c r="Y227" s="13" t="n"/>
      <c r="Z227" s="13" t="n"/>
      <c r="AF227" s="13" t="n"/>
      <c r="AG227" s="12">
        <f>IF(A227="","",SUMIFS('Assessment Weights'!$D:$D,'Assessment Weights'!$A:$A,A227))</f>
        <v/>
      </c>
      <c r="AH227" s="12">
        <f>IF(A227="","",IF(COUNTIF($A$2:$A$1000,A227)&gt;1,"Duplicate Job ID",IF(AND(AG227&lt;&gt;100,AG227&lt;&gt;0),"Weights must total 100",IF(Z227-Y227&lt;7,"Closing date must be 7+ days after opening","OK"))))</f>
        <v/>
      </c>
    </row>
    <row r="228">
      <c r="Y228" s="13" t="n"/>
      <c r="Z228" s="13" t="n"/>
      <c r="AF228" s="13" t="n"/>
      <c r="AG228" s="12">
        <f>IF(A228="","",SUMIFS('Assessment Weights'!$D:$D,'Assessment Weights'!$A:$A,A228))</f>
        <v/>
      </c>
      <c r="AH228" s="12">
        <f>IF(A228="","",IF(COUNTIF($A$2:$A$1000,A228)&gt;1,"Duplicate Job ID",IF(AND(AG228&lt;&gt;100,AG228&lt;&gt;0),"Weights must total 100",IF(Z228-Y228&lt;7,"Closing date must be 7+ days after opening","OK"))))</f>
        <v/>
      </c>
    </row>
    <row r="229">
      <c r="Y229" s="13" t="n"/>
      <c r="Z229" s="13" t="n"/>
      <c r="AF229" s="13" t="n"/>
      <c r="AG229" s="12">
        <f>IF(A229="","",SUMIFS('Assessment Weights'!$D:$D,'Assessment Weights'!$A:$A,A229))</f>
        <v/>
      </c>
      <c r="AH229" s="12">
        <f>IF(A229="","",IF(COUNTIF($A$2:$A$1000,A229)&gt;1,"Duplicate Job ID",IF(AND(AG229&lt;&gt;100,AG229&lt;&gt;0),"Weights must total 100",IF(Z229-Y229&lt;7,"Closing date must be 7+ days after opening","OK"))))</f>
        <v/>
      </c>
    </row>
    <row r="230">
      <c r="Y230" s="13" t="n"/>
      <c r="Z230" s="13" t="n"/>
      <c r="AF230" s="13" t="n"/>
      <c r="AG230" s="12">
        <f>IF(A230="","",SUMIFS('Assessment Weights'!$D:$D,'Assessment Weights'!$A:$A,A230))</f>
        <v/>
      </c>
      <c r="AH230" s="12">
        <f>IF(A230="","",IF(COUNTIF($A$2:$A$1000,A230)&gt;1,"Duplicate Job ID",IF(AND(AG230&lt;&gt;100,AG230&lt;&gt;0),"Weights must total 100",IF(Z230-Y230&lt;7,"Closing date must be 7+ days after opening","OK"))))</f>
        <v/>
      </c>
    </row>
    <row r="231">
      <c r="Y231" s="13" t="n"/>
      <c r="Z231" s="13" t="n"/>
      <c r="AF231" s="13" t="n"/>
      <c r="AG231" s="12">
        <f>IF(A231="","",SUMIFS('Assessment Weights'!$D:$D,'Assessment Weights'!$A:$A,A231))</f>
        <v/>
      </c>
      <c r="AH231" s="12">
        <f>IF(A231="","",IF(COUNTIF($A$2:$A$1000,A231)&gt;1,"Duplicate Job ID",IF(AND(AG231&lt;&gt;100,AG231&lt;&gt;0),"Weights must total 100",IF(Z231-Y231&lt;7,"Closing date must be 7+ days after opening","OK"))))</f>
        <v/>
      </c>
    </row>
    <row r="232">
      <c r="Y232" s="13" t="n"/>
      <c r="Z232" s="13" t="n"/>
      <c r="AF232" s="13" t="n"/>
      <c r="AG232" s="12">
        <f>IF(A232="","",SUMIFS('Assessment Weights'!$D:$D,'Assessment Weights'!$A:$A,A232))</f>
        <v/>
      </c>
      <c r="AH232" s="12">
        <f>IF(A232="","",IF(COUNTIF($A$2:$A$1000,A232)&gt;1,"Duplicate Job ID",IF(AND(AG232&lt;&gt;100,AG232&lt;&gt;0),"Weights must total 100",IF(Z232-Y232&lt;7,"Closing date must be 7+ days after opening","OK"))))</f>
        <v/>
      </c>
    </row>
    <row r="233">
      <c r="Y233" s="13" t="n"/>
      <c r="Z233" s="13" t="n"/>
      <c r="AF233" s="13" t="n"/>
      <c r="AG233" s="12">
        <f>IF(A233="","",SUMIFS('Assessment Weights'!$D:$D,'Assessment Weights'!$A:$A,A233))</f>
        <v/>
      </c>
      <c r="AH233" s="12">
        <f>IF(A233="","",IF(COUNTIF($A$2:$A$1000,A233)&gt;1,"Duplicate Job ID",IF(AND(AG233&lt;&gt;100,AG233&lt;&gt;0),"Weights must total 100",IF(Z233-Y233&lt;7,"Closing date must be 7+ days after opening","OK"))))</f>
        <v/>
      </c>
    </row>
    <row r="234">
      <c r="Y234" s="13" t="n"/>
      <c r="Z234" s="13" t="n"/>
      <c r="AF234" s="13" t="n"/>
      <c r="AG234" s="12">
        <f>IF(A234="","",SUMIFS('Assessment Weights'!$D:$D,'Assessment Weights'!$A:$A,A234))</f>
        <v/>
      </c>
      <c r="AH234" s="12">
        <f>IF(A234="","",IF(COUNTIF($A$2:$A$1000,A234)&gt;1,"Duplicate Job ID",IF(AND(AG234&lt;&gt;100,AG234&lt;&gt;0),"Weights must total 100",IF(Z234-Y234&lt;7,"Closing date must be 7+ days after opening","OK"))))</f>
        <v/>
      </c>
    </row>
    <row r="235">
      <c r="Y235" s="13" t="n"/>
      <c r="Z235" s="13" t="n"/>
      <c r="AF235" s="13" t="n"/>
      <c r="AG235" s="12">
        <f>IF(A235="","",SUMIFS('Assessment Weights'!$D:$D,'Assessment Weights'!$A:$A,A235))</f>
        <v/>
      </c>
      <c r="AH235" s="12">
        <f>IF(A235="","",IF(COUNTIF($A$2:$A$1000,A235)&gt;1,"Duplicate Job ID",IF(AND(AG235&lt;&gt;100,AG235&lt;&gt;0),"Weights must total 100",IF(Z235-Y235&lt;7,"Closing date must be 7+ days after opening","OK"))))</f>
        <v/>
      </c>
    </row>
    <row r="236">
      <c r="Y236" s="13" t="n"/>
      <c r="Z236" s="13" t="n"/>
      <c r="AF236" s="13" t="n"/>
      <c r="AG236" s="12">
        <f>IF(A236="","",SUMIFS('Assessment Weights'!$D:$D,'Assessment Weights'!$A:$A,A236))</f>
        <v/>
      </c>
      <c r="AH236" s="12">
        <f>IF(A236="","",IF(COUNTIF($A$2:$A$1000,A236)&gt;1,"Duplicate Job ID",IF(AND(AG236&lt;&gt;100,AG236&lt;&gt;0),"Weights must total 100",IF(Z236-Y236&lt;7,"Closing date must be 7+ days after opening","OK"))))</f>
        <v/>
      </c>
    </row>
    <row r="237">
      <c r="Y237" s="13" t="n"/>
      <c r="Z237" s="13" t="n"/>
      <c r="AF237" s="13" t="n"/>
      <c r="AG237" s="12">
        <f>IF(A237="","",SUMIFS('Assessment Weights'!$D:$D,'Assessment Weights'!$A:$A,A237))</f>
        <v/>
      </c>
      <c r="AH237" s="12">
        <f>IF(A237="","",IF(COUNTIF($A$2:$A$1000,A237)&gt;1,"Duplicate Job ID",IF(AND(AG237&lt;&gt;100,AG237&lt;&gt;0),"Weights must total 100",IF(Z237-Y237&lt;7,"Closing date must be 7+ days after opening","OK"))))</f>
        <v/>
      </c>
    </row>
    <row r="238">
      <c r="Y238" s="13" t="n"/>
      <c r="Z238" s="13" t="n"/>
      <c r="AF238" s="13" t="n"/>
      <c r="AG238" s="12">
        <f>IF(A238="","",SUMIFS('Assessment Weights'!$D:$D,'Assessment Weights'!$A:$A,A238))</f>
        <v/>
      </c>
      <c r="AH238" s="12">
        <f>IF(A238="","",IF(COUNTIF($A$2:$A$1000,A238)&gt;1,"Duplicate Job ID",IF(AND(AG238&lt;&gt;100,AG238&lt;&gt;0),"Weights must total 100",IF(Z238-Y238&lt;7,"Closing date must be 7+ days after opening","OK"))))</f>
        <v/>
      </c>
    </row>
    <row r="239">
      <c r="Y239" s="13" t="n"/>
      <c r="Z239" s="13" t="n"/>
      <c r="AF239" s="13" t="n"/>
      <c r="AG239" s="12">
        <f>IF(A239="","",SUMIFS('Assessment Weights'!$D:$D,'Assessment Weights'!$A:$A,A239))</f>
        <v/>
      </c>
      <c r="AH239" s="12">
        <f>IF(A239="","",IF(COUNTIF($A$2:$A$1000,A239)&gt;1,"Duplicate Job ID",IF(AND(AG239&lt;&gt;100,AG239&lt;&gt;0),"Weights must total 100",IF(Z239-Y239&lt;7,"Closing date must be 7+ days after opening","OK"))))</f>
        <v/>
      </c>
    </row>
    <row r="240">
      <c r="Y240" s="13" t="n"/>
      <c r="Z240" s="13" t="n"/>
      <c r="AF240" s="13" t="n"/>
      <c r="AG240" s="12">
        <f>IF(A240="","",SUMIFS('Assessment Weights'!$D:$D,'Assessment Weights'!$A:$A,A240))</f>
        <v/>
      </c>
      <c r="AH240" s="12">
        <f>IF(A240="","",IF(COUNTIF($A$2:$A$1000,A240)&gt;1,"Duplicate Job ID",IF(AND(AG240&lt;&gt;100,AG240&lt;&gt;0),"Weights must total 100",IF(Z240-Y240&lt;7,"Closing date must be 7+ days after opening","OK"))))</f>
        <v/>
      </c>
    </row>
    <row r="241">
      <c r="Y241" s="13" t="n"/>
      <c r="Z241" s="13" t="n"/>
      <c r="AF241" s="13" t="n"/>
      <c r="AG241" s="12">
        <f>IF(A241="","",SUMIFS('Assessment Weights'!$D:$D,'Assessment Weights'!$A:$A,A241))</f>
        <v/>
      </c>
      <c r="AH241" s="12">
        <f>IF(A241="","",IF(COUNTIF($A$2:$A$1000,A241)&gt;1,"Duplicate Job ID",IF(AND(AG241&lt;&gt;100,AG241&lt;&gt;0),"Weights must total 100",IF(Z241-Y241&lt;7,"Closing date must be 7+ days after opening","OK"))))</f>
        <v/>
      </c>
    </row>
    <row r="242">
      <c r="Y242" s="13" t="n"/>
      <c r="Z242" s="13" t="n"/>
      <c r="AF242" s="13" t="n"/>
      <c r="AG242" s="12">
        <f>IF(A242="","",SUMIFS('Assessment Weights'!$D:$D,'Assessment Weights'!$A:$A,A242))</f>
        <v/>
      </c>
      <c r="AH242" s="12">
        <f>IF(A242="","",IF(COUNTIF($A$2:$A$1000,A242)&gt;1,"Duplicate Job ID",IF(AND(AG242&lt;&gt;100,AG242&lt;&gt;0),"Weights must total 100",IF(Z242-Y242&lt;7,"Closing date must be 7+ days after opening","OK"))))</f>
        <v/>
      </c>
    </row>
    <row r="243">
      <c r="Y243" s="13" t="n"/>
      <c r="Z243" s="13" t="n"/>
      <c r="AF243" s="13" t="n"/>
      <c r="AG243" s="12">
        <f>IF(A243="","",SUMIFS('Assessment Weights'!$D:$D,'Assessment Weights'!$A:$A,A243))</f>
        <v/>
      </c>
      <c r="AH243" s="12">
        <f>IF(A243="","",IF(COUNTIF($A$2:$A$1000,A243)&gt;1,"Duplicate Job ID",IF(AND(AG243&lt;&gt;100,AG243&lt;&gt;0),"Weights must total 100",IF(Z243-Y243&lt;7,"Closing date must be 7+ days after opening","OK"))))</f>
        <v/>
      </c>
    </row>
    <row r="244">
      <c r="Y244" s="13" t="n"/>
      <c r="Z244" s="13" t="n"/>
      <c r="AF244" s="13" t="n"/>
      <c r="AG244" s="12">
        <f>IF(A244="","",SUMIFS('Assessment Weights'!$D:$D,'Assessment Weights'!$A:$A,A244))</f>
        <v/>
      </c>
      <c r="AH244" s="12">
        <f>IF(A244="","",IF(COUNTIF($A$2:$A$1000,A244)&gt;1,"Duplicate Job ID",IF(AND(AG244&lt;&gt;100,AG244&lt;&gt;0),"Weights must total 100",IF(Z244-Y244&lt;7,"Closing date must be 7+ days after opening","OK"))))</f>
        <v/>
      </c>
    </row>
    <row r="245">
      <c r="Y245" s="13" t="n"/>
      <c r="Z245" s="13" t="n"/>
      <c r="AF245" s="13" t="n"/>
      <c r="AG245" s="12">
        <f>IF(A245="","",SUMIFS('Assessment Weights'!$D:$D,'Assessment Weights'!$A:$A,A245))</f>
        <v/>
      </c>
      <c r="AH245" s="12">
        <f>IF(A245="","",IF(COUNTIF($A$2:$A$1000,A245)&gt;1,"Duplicate Job ID",IF(AND(AG245&lt;&gt;100,AG245&lt;&gt;0),"Weights must total 100",IF(Z245-Y245&lt;7,"Closing date must be 7+ days after opening","OK"))))</f>
        <v/>
      </c>
    </row>
    <row r="246">
      <c r="Y246" s="13" t="n"/>
      <c r="Z246" s="13" t="n"/>
      <c r="AF246" s="13" t="n"/>
      <c r="AG246" s="12">
        <f>IF(A246="","",SUMIFS('Assessment Weights'!$D:$D,'Assessment Weights'!$A:$A,A246))</f>
        <v/>
      </c>
      <c r="AH246" s="12">
        <f>IF(A246="","",IF(COUNTIF($A$2:$A$1000,A246)&gt;1,"Duplicate Job ID",IF(AND(AG246&lt;&gt;100,AG246&lt;&gt;0),"Weights must total 100",IF(Z246-Y246&lt;7,"Closing date must be 7+ days after opening","OK"))))</f>
        <v/>
      </c>
    </row>
    <row r="247">
      <c r="Y247" s="13" t="n"/>
      <c r="Z247" s="13" t="n"/>
      <c r="AF247" s="13" t="n"/>
      <c r="AG247" s="12">
        <f>IF(A247="","",SUMIFS('Assessment Weights'!$D:$D,'Assessment Weights'!$A:$A,A247))</f>
        <v/>
      </c>
      <c r="AH247" s="12">
        <f>IF(A247="","",IF(COUNTIF($A$2:$A$1000,A247)&gt;1,"Duplicate Job ID",IF(AND(AG247&lt;&gt;100,AG247&lt;&gt;0),"Weights must total 100",IF(Z247-Y247&lt;7,"Closing date must be 7+ days after opening","OK"))))</f>
        <v/>
      </c>
    </row>
    <row r="248">
      <c r="Y248" s="13" t="n"/>
      <c r="Z248" s="13" t="n"/>
      <c r="AF248" s="13" t="n"/>
      <c r="AG248" s="12">
        <f>IF(A248="","",SUMIFS('Assessment Weights'!$D:$D,'Assessment Weights'!$A:$A,A248))</f>
        <v/>
      </c>
      <c r="AH248" s="12">
        <f>IF(A248="","",IF(COUNTIF($A$2:$A$1000,A248)&gt;1,"Duplicate Job ID",IF(AND(AG248&lt;&gt;100,AG248&lt;&gt;0),"Weights must total 100",IF(Z248-Y248&lt;7,"Closing date must be 7+ days after opening","OK"))))</f>
        <v/>
      </c>
    </row>
    <row r="249">
      <c r="Y249" s="13" t="n"/>
      <c r="Z249" s="13" t="n"/>
      <c r="AF249" s="13" t="n"/>
      <c r="AG249" s="12">
        <f>IF(A249="","",SUMIFS('Assessment Weights'!$D:$D,'Assessment Weights'!$A:$A,A249))</f>
        <v/>
      </c>
      <c r="AH249" s="12">
        <f>IF(A249="","",IF(COUNTIF($A$2:$A$1000,A249)&gt;1,"Duplicate Job ID",IF(AND(AG249&lt;&gt;100,AG249&lt;&gt;0),"Weights must total 100",IF(Z249-Y249&lt;7,"Closing date must be 7+ days after opening","OK"))))</f>
        <v/>
      </c>
    </row>
    <row r="250">
      <c r="Y250" s="13" t="n"/>
      <c r="Z250" s="13" t="n"/>
      <c r="AF250" s="13" t="n"/>
      <c r="AG250" s="12">
        <f>IF(A250="","",SUMIFS('Assessment Weights'!$D:$D,'Assessment Weights'!$A:$A,A250))</f>
        <v/>
      </c>
      <c r="AH250" s="12">
        <f>IF(A250="","",IF(COUNTIF($A$2:$A$1000,A250)&gt;1,"Duplicate Job ID",IF(AND(AG250&lt;&gt;100,AG250&lt;&gt;0),"Weights must total 100",IF(Z250-Y250&lt;7,"Closing date must be 7+ days after opening","OK"))))</f>
        <v/>
      </c>
    </row>
    <row r="251">
      <c r="Y251" s="13" t="n"/>
      <c r="Z251" s="13" t="n"/>
      <c r="AF251" s="13" t="n"/>
      <c r="AG251" s="12">
        <f>IF(A251="","",SUMIFS('Assessment Weights'!$D:$D,'Assessment Weights'!$A:$A,A251))</f>
        <v/>
      </c>
      <c r="AH251" s="12">
        <f>IF(A251="","",IF(COUNTIF($A$2:$A$1000,A251)&gt;1,"Duplicate Job ID",IF(AND(AG251&lt;&gt;100,AG251&lt;&gt;0),"Weights must total 100",IF(Z251-Y251&lt;7,"Closing date must be 7+ days after opening","OK"))))</f>
        <v/>
      </c>
    </row>
    <row r="252">
      <c r="Y252" s="13" t="n"/>
      <c r="Z252" s="13" t="n"/>
      <c r="AF252" s="13" t="n"/>
      <c r="AG252" s="12">
        <f>IF(A252="","",SUMIFS('Assessment Weights'!$D:$D,'Assessment Weights'!$A:$A,A252))</f>
        <v/>
      </c>
      <c r="AH252" s="12">
        <f>IF(A252="","",IF(COUNTIF($A$2:$A$1000,A252)&gt;1,"Duplicate Job ID",IF(AND(AG252&lt;&gt;100,AG252&lt;&gt;0),"Weights must total 100",IF(Z252-Y252&lt;7,"Closing date must be 7+ days after opening","OK"))))</f>
        <v/>
      </c>
    </row>
    <row r="253">
      <c r="Y253" s="13" t="n"/>
      <c r="Z253" s="13" t="n"/>
      <c r="AF253" s="13" t="n"/>
      <c r="AG253" s="12">
        <f>IF(A253="","",SUMIFS('Assessment Weights'!$D:$D,'Assessment Weights'!$A:$A,A253))</f>
        <v/>
      </c>
      <c r="AH253" s="12">
        <f>IF(A253="","",IF(COUNTIF($A$2:$A$1000,A253)&gt;1,"Duplicate Job ID",IF(AND(AG253&lt;&gt;100,AG253&lt;&gt;0),"Weights must total 100",IF(Z253-Y253&lt;7,"Closing date must be 7+ days after opening","OK"))))</f>
        <v/>
      </c>
    </row>
    <row r="254">
      <c r="Y254" s="13" t="n"/>
      <c r="Z254" s="13" t="n"/>
      <c r="AF254" s="13" t="n"/>
      <c r="AG254" s="12">
        <f>IF(A254="","",SUMIFS('Assessment Weights'!$D:$D,'Assessment Weights'!$A:$A,A254))</f>
        <v/>
      </c>
      <c r="AH254" s="12">
        <f>IF(A254="","",IF(COUNTIF($A$2:$A$1000,A254)&gt;1,"Duplicate Job ID",IF(AND(AG254&lt;&gt;100,AG254&lt;&gt;0),"Weights must total 100",IF(Z254-Y254&lt;7,"Closing date must be 7+ days after opening","OK"))))</f>
        <v/>
      </c>
    </row>
    <row r="255">
      <c r="Y255" s="13" t="n"/>
      <c r="Z255" s="13" t="n"/>
      <c r="AF255" s="13" t="n"/>
      <c r="AG255" s="12">
        <f>IF(A255="","",SUMIFS('Assessment Weights'!$D:$D,'Assessment Weights'!$A:$A,A255))</f>
        <v/>
      </c>
      <c r="AH255" s="12">
        <f>IF(A255="","",IF(COUNTIF($A$2:$A$1000,A255)&gt;1,"Duplicate Job ID",IF(AND(AG255&lt;&gt;100,AG255&lt;&gt;0),"Weights must total 100",IF(Z255-Y255&lt;7,"Closing date must be 7+ days after opening","OK"))))</f>
        <v/>
      </c>
    </row>
    <row r="256">
      <c r="Y256" s="13" t="n"/>
      <c r="Z256" s="13" t="n"/>
      <c r="AF256" s="13" t="n"/>
      <c r="AG256" s="12">
        <f>IF(A256="","",SUMIFS('Assessment Weights'!$D:$D,'Assessment Weights'!$A:$A,A256))</f>
        <v/>
      </c>
      <c r="AH256" s="12">
        <f>IF(A256="","",IF(COUNTIF($A$2:$A$1000,A256)&gt;1,"Duplicate Job ID",IF(AND(AG256&lt;&gt;100,AG256&lt;&gt;0),"Weights must total 100",IF(Z256-Y256&lt;7,"Closing date must be 7+ days after opening","OK"))))</f>
        <v/>
      </c>
    </row>
    <row r="257">
      <c r="Y257" s="13" t="n"/>
      <c r="Z257" s="13" t="n"/>
      <c r="AF257" s="13" t="n"/>
      <c r="AG257" s="12">
        <f>IF(A257="","",SUMIFS('Assessment Weights'!$D:$D,'Assessment Weights'!$A:$A,A257))</f>
        <v/>
      </c>
      <c r="AH257" s="12">
        <f>IF(A257="","",IF(COUNTIF($A$2:$A$1000,A257)&gt;1,"Duplicate Job ID",IF(AND(AG257&lt;&gt;100,AG257&lt;&gt;0),"Weights must total 100",IF(Z257-Y257&lt;7,"Closing date must be 7+ days after opening","OK"))))</f>
        <v/>
      </c>
    </row>
    <row r="258">
      <c r="Y258" s="13" t="n"/>
      <c r="Z258" s="13" t="n"/>
      <c r="AF258" s="13" t="n"/>
      <c r="AG258" s="12">
        <f>IF(A258="","",SUMIFS('Assessment Weights'!$D:$D,'Assessment Weights'!$A:$A,A258))</f>
        <v/>
      </c>
      <c r="AH258" s="12">
        <f>IF(A258="","",IF(COUNTIF($A$2:$A$1000,A258)&gt;1,"Duplicate Job ID",IF(AND(AG258&lt;&gt;100,AG258&lt;&gt;0),"Weights must total 100",IF(Z258-Y258&lt;7,"Closing date must be 7+ days after opening","OK"))))</f>
        <v/>
      </c>
    </row>
    <row r="259">
      <c r="Y259" s="13" t="n"/>
      <c r="Z259" s="13" t="n"/>
      <c r="AF259" s="13" t="n"/>
      <c r="AG259" s="12">
        <f>IF(A259="","",SUMIFS('Assessment Weights'!$D:$D,'Assessment Weights'!$A:$A,A259))</f>
        <v/>
      </c>
      <c r="AH259" s="12">
        <f>IF(A259="","",IF(COUNTIF($A$2:$A$1000,A259)&gt;1,"Duplicate Job ID",IF(AND(AG259&lt;&gt;100,AG259&lt;&gt;0),"Weights must total 100",IF(Z259-Y259&lt;7,"Closing date must be 7+ days after opening","OK"))))</f>
        <v/>
      </c>
    </row>
    <row r="260">
      <c r="Y260" s="13" t="n"/>
      <c r="Z260" s="13" t="n"/>
      <c r="AF260" s="13" t="n"/>
      <c r="AG260" s="12">
        <f>IF(A260="","",SUMIFS('Assessment Weights'!$D:$D,'Assessment Weights'!$A:$A,A260))</f>
        <v/>
      </c>
      <c r="AH260" s="12">
        <f>IF(A260="","",IF(COUNTIF($A$2:$A$1000,A260)&gt;1,"Duplicate Job ID",IF(AND(AG260&lt;&gt;100,AG260&lt;&gt;0),"Weights must total 100",IF(Z260-Y260&lt;7,"Closing date must be 7+ days after opening","OK"))))</f>
        <v/>
      </c>
    </row>
    <row r="261">
      <c r="Y261" s="13" t="n"/>
      <c r="Z261" s="13" t="n"/>
      <c r="AF261" s="13" t="n"/>
      <c r="AG261" s="12">
        <f>IF(A261="","",SUMIFS('Assessment Weights'!$D:$D,'Assessment Weights'!$A:$A,A261))</f>
        <v/>
      </c>
      <c r="AH261" s="12">
        <f>IF(A261="","",IF(COUNTIF($A$2:$A$1000,A261)&gt;1,"Duplicate Job ID",IF(AND(AG261&lt;&gt;100,AG261&lt;&gt;0),"Weights must total 100",IF(Z261-Y261&lt;7,"Closing date must be 7+ days after opening","OK"))))</f>
        <v/>
      </c>
    </row>
    <row r="262">
      <c r="Y262" s="13" t="n"/>
      <c r="Z262" s="13" t="n"/>
      <c r="AF262" s="13" t="n"/>
      <c r="AG262" s="12">
        <f>IF(A262="","",SUMIFS('Assessment Weights'!$D:$D,'Assessment Weights'!$A:$A,A262))</f>
        <v/>
      </c>
      <c r="AH262" s="12">
        <f>IF(A262="","",IF(COUNTIF($A$2:$A$1000,A262)&gt;1,"Duplicate Job ID",IF(AND(AG262&lt;&gt;100,AG262&lt;&gt;0),"Weights must total 100",IF(Z262-Y262&lt;7,"Closing date must be 7+ days after opening","OK"))))</f>
        <v/>
      </c>
    </row>
    <row r="263">
      <c r="Y263" s="13" t="n"/>
      <c r="Z263" s="13" t="n"/>
      <c r="AF263" s="13" t="n"/>
      <c r="AG263" s="12">
        <f>IF(A263="","",SUMIFS('Assessment Weights'!$D:$D,'Assessment Weights'!$A:$A,A263))</f>
        <v/>
      </c>
      <c r="AH263" s="12">
        <f>IF(A263="","",IF(COUNTIF($A$2:$A$1000,A263)&gt;1,"Duplicate Job ID",IF(AND(AG263&lt;&gt;100,AG263&lt;&gt;0),"Weights must total 100",IF(Z263-Y263&lt;7,"Closing date must be 7+ days after opening","OK"))))</f>
        <v/>
      </c>
    </row>
    <row r="264">
      <c r="Y264" s="13" t="n"/>
      <c r="Z264" s="13" t="n"/>
      <c r="AF264" s="13" t="n"/>
      <c r="AG264" s="12">
        <f>IF(A264="","",SUMIFS('Assessment Weights'!$D:$D,'Assessment Weights'!$A:$A,A264))</f>
        <v/>
      </c>
      <c r="AH264" s="12">
        <f>IF(A264="","",IF(COUNTIF($A$2:$A$1000,A264)&gt;1,"Duplicate Job ID",IF(AND(AG264&lt;&gt;100,AG264&lt;&gt;0),"Weights must total 100",IF(Z264-Y264&lt;7,"Closing date must be 7+ days after opening","OK"))))</f>
        <v/>
      </c>
    </row>
    <row r="265">
      <c r="Y265" s="13" t="n"/>
      <c r="Z265" s="13" t="n"/>
      <c r="AF265" s="13" t="n"/>
      <c r="AG265" s="12">
        <f>IF(A265="","",SUMIFS('Assessment Weights'!$D:$D,'Assessment Weights'!$A:$A,A265))</f>
        <v/>
      </c>
      <c r="AH265" s="12">
        <f>IF(A265="","",IF(COUNTIF($A$2:$A$1000,A265)&gt;1,"Duplicate Job ID",IF(AND(AG265&lt;&gt;100,AG265&lt;&gt;0),"Weights must total 100",IF(Z265-Y265&lt;7,"Closing date must be 7+ days after opening","OK"))))</f>
        <v/>
      </c>
    </row>
    <row r="266">
      <c r="Y266" s="13" t="n"/>
      <c r="Z266" s="13" t="n"/>
      <c r="AF266" s="13" t="n"/>
      <c r="AG266" s="12">
        <f>IF(A266="","",SUMIFS('Assessment Weights'!$D:$D,'Assessment Weights'!$A:$A,A266))</f>
        <v/>
      </c>
      <c r="AH266" s="12">
        <f>IF(A266="","",IF(COUNTIF($A$2:$A$1000,A266)&gt;1,"Duplicate Job ID",IF(AND(AG266&lt;&gt;100,AG266&lt;&gt;0),"Weights must total 100",IF(Z266-Y266&lt;7,"Closing date must be 7+ days after opening","OK"))))</f>
        <v/>
      </c>
    </row>
    <row r="267">
      <c r="Y267" s="13" t="n"/>
      <c r="Z267" s="13" t="n"/>
      <c r="AF267" s="13" t="n"/>
      <c r="AG267" s="12">
        <f>IF(A267="","",SUMIFS('Assessment Weights'!$D:$D,'Assessment Weights'!$A:$A,A267))</f>
        <v/>
      </c>
      <c r="AH267" s="12">
        <f>IF(A267="","",IF(COUNTIF($A$2:$A$1000,A267)&gt;1,"Duplicate Job ID",IF(AND(AG267&lt;&gt;100,AG267&lt;&gt;0),"Weights must total 100",IF(Z267-Y267&lt;7,"Closing date must be 7+ days after opening","OK"))))</f>
        <v/>
      </c>
    </row>
    <row r="268">
      <c r="Y268" s="13" t="n"/>
      <c r="Z268" s="13" t="n"/>
      <c r="AF268" s="13" t="n"/>
      <c r="AG268" s="12">
        <f>IF(A268="","",SUMIFS('Assessment Weights'!$D:$D,'Assessment Weights'!$A:$A,A268))</f>
        <v/>
      </c>
      <c r="AH268" s="12">
        <f>IF(A268="","",IF(COUNTIF($A$2:$A$1000,A268)&gt;1,"Duplicate Job ID",IF(AND(AG268&lt;&gt;100,AG268&lt;&gt;0),"Weights must total 100",IF(Z268-Y268&lt;7,"Closing date must be 7+ days after opening","OK"))))</f>
        <v/>
      </c>
    </row>
    <row r="269">
      <c r="Y269" s="13" t="n"/>
      <c r="Z269" s="13" t="n"/>
      <c r="AF269" s="13" t="n"/>
      <c r="AG269" s="12">
        <f>IF(A269="","",SUMIFS('Assessment Weights'!$D:$D,'Assessment Weights'!$A:$A,A269))</f>
        <v/>
      </c>
      <c r="AH269" s="12">
        <f>IF(A269="","",IF(COUNTIF($A$2:$A$1000,A269)&gt;1,"Duplicate Job ID",IF(AND(AG269&lt;&gt;100,AG269&lt;&gt;0),"Weights must total 100",IF(Z269-Y269&lt;7,"Closing date must be 7+ days after opening","OK"))))</f>
        <v/>
      </c>
    </row>
    <row r="270">
      <c r="Y270" s="13" t="n"/>
      <c r="Z270" s="13" t="n"/>
      <c r="AF270" s="13" t="n"/>
      <c r="AG270" s="12">
        <f>IF(A270="","",SUMIFS('Assessment Weights'!$D:$D,'Assessment Weights'!$A:$A,A270))</f>
        <v/>
      </c>
      <c r="AH270" s="12">
        <f>IF(A270="","",IF(COUNTIF($A$2:$A$1000,A270)&gt;1,"Duplicate Job ID",IF(AND(AG270&lt;&gt;100,AG270&lt;&gt;0),"Weights must total 100",IF(Z270-Y270&lt;7,"Closing date must be 7+ days after opening","OK"))))</f>
        <v/>
      </c>
    </row>
    <row r="271">
      <c r="Y271" s="13" t="n"/>
      <c r="Z271" s="13" t="n"/>
      <c r="AF271" s="13" t="n"/>
      <c r="AG271" s="12">
        <f>IF(A271="","",SUMIFS('Assessment Weights'!$D:$D,'Assessment Weights'!$A:$A,A271))</f>
        <v/>
      </c>
      <c r="AH271" s="12">
        <f>IF(A271="","",IF(COUNTIF($A$2:$A$1000,A271)&gt;1,"Duplicate Job ID",IF(AND(AG271&lt;&gt;100,AG271&lt;&gt;0),"Weights must total 100",IF(Z271-Y271&lt;7,"Closing date must be 7+ days after opening","OK"))))</f>
        <v/>
      </c>
    </row>
    <row r="272">
      <c r="Y272" s="13" t="n"/>
      <c r="Z272" s="13" t="n"/>
      <c r="AF272" s="13" t="n"/>
      <c r="AG272" s="12">
        <f>IF(A272="","",SUMIFS('Assessment Weights'!$D:$D,'Assessment Weights'!$A:$A,A272))</f>
        <v/>
      </c>
      <c r="AH272" s="12">
        <f>IF(A272="","",IF(COUNTIF($A$2:$A$1000,A272)&gt;1,"Duplicate Job ID",IF(AND(AG272&lt;&gt;100,AG272&lt;&gt;0),"Weights must total 100",IF(Z272-Y272&lt;7,"Closing date must be 7+ days after opening","OK"))))</f>
        <v/>
      </c>
    </row>
    <row r="273">
      <c r="Y273" s="13" t="n"/>
      <c r="Z273" s="13" t="n"/>
      <c r="AF273" s="13" t="n"/>
      <c r="AG273" s="12">
        <f>IF(A273="","",SUMIFS('Assessment Weights'!$D:$D,'Assessment Weights'!$A:$A,A273))</f>
        <v/>
      </c>
      <c r="AH273" s="12">
        <f>IF(A273="","",IF(COUNTIF($A$2:$A$1000,A273)&gt;1,"Duplicate Job ID",IF(AND(AG273&lt;&gt;100,AG273&lt;&gt;0),"Weights must total 100",IF(Z273-Y273&lt;7,"Closing date must be 7+ days after opening","OK"))))</f>
        <v/>
      </c>
    </row>
    <row r="274">
      <c r="Y274" s="13" t="n"/>
      <c r="Z274" s="13" t="n"/>
      <c r="AF274" s="13" t="n"/>
      <c r="AG274" s="12">
        <f>IF(A274="","",SUMIFS('Assessment Weights'!$D:$D,'Assessment Weights'!$A:$A,A274))</f>
        <v/>
      </c>
      <c r="AH274" s="12">
        <f>IF(A274="","",IF(COUNTIF($A$2:$A$1000,A274)&gt;1,"Duplicate Job ID",IF(AND(AG274&lt;&gt;100,AG274&lt;&gt;0),"Weights must total 100",IF(Z274-Y274&lt;7,"Closing date must be 7+ days after opening","OK"))))</f>
        <v/>
      </c>
    </row>
    <row r="275">
      <c r="Y275" s="13" t="n"/>
      <c r="Z275" s="13" t="n"/>
      <c r="AF275" s="13" t="n"/>
      <c r="AG275" s="12">
        <f>IF(A275="","",SUMIFS('Assessment Weights'!$D:$D,'Assessment Weights'!$A:$A,A275))</f>
        <v/>
      </c>
      <c r="AH275" s="12">
        <f>IF(A275="","",IF(COUNTIF($A$2:$A$1000,A275)&gt;1,"Duplicate Job ID",IF(AND(AG275&lt;&gt;100,AG275&lt;&gt;0),"Weights must total 100",IF(Z275-Y275&lt;7,"Closing date must be 7+ days after opening","OK"))))</f>
        <v/>
      </c>
    </row>
    <row r="276">
      <c r="Y276" s="13" t="n"/>
      <c r="Z276" s="13" t="n"/>
      <c r="AF276" s="13" t="n"/>
      <c r="AG276" s="12">
        <f>IF(A276="","",SUMIFS('Assessment Weights'!$D:$D,'Assessment Weights'!$A:$A,A276))</f>
        <v/>
      </c>
      <c r="AH276" s="12">
        <f>IF(A276="","",IF(COUNTIF($A$2:$A$1000,A276)&gt;1,"Duplicate Job ID",IF(AND(AG276&lt;&gt;100,AG276&lt;&gt;0),"Weights must total 100",IF(Z276-Y276&lt;7,"Closing date must be 7+ days after opening","OK"))))</f>
        <v/>
      </c>
    </row>
    <row r="277">
      <c r="Y277" s="13" t="n"/>
      <c r="Z277" s="13" t="n"/>
      <c r="AF277" s="13" t="n"/>
      <c r="AG277" s="12">
        <f>IF(A277="","",SUMIFS('Assessment Weights'!$D:$D,'Assessment Weights'!$A:$A,A277))</f>
        <v/>
      </c>
      <c r="AH277" s="12">
        <f>IF(A277="","",IF(COUNTIF($A$2:$A$1000,A277)&gt;1,"Duplicate Job ID",IF(AND(AG277&lt;&gt;100,AG277&lt;&gt;0),"Weights must total 100",IF(Z277-Y277&lt;7,"Closing date must be 7+ days after opening","OK"))))</f>
        <v/>
      </c>
    </row>
    <row r="278">
      <c r="Y278" s="13" t="n"/>
      <c r="Z278" s="13" t="n"/>
      <c r="AF278" s="13" t="n"/>
      <c r="AG278" s="12">
        <f>IF(A278="","",SUMIFS('Assessment Weights'!$D:$D,'Assessment Weights'!$A:$A,A278))</f>
        <v/>
      </c>
      <c r="AH278" s="12">
        <f>IF(A278="","",IF(COUNTIF($A$2:$A$1000,A278)&gt;1,"Duplicate Job ID",IF(AND(AG278&lt;&gt;100,AG278&lt;&gt;0),"Weights must total 100",IF(Z278-Y278&lt;7,"Closing date must be 7+ days after opening","OK"))))</f>
        <v/>
      </c>
    </row>
    <row r="279">
      <c r="Y279" s="13" t="n"/>
      <c r="Z279" s="13" t="n"/>
      <c r="AF279" s="13" t="n"/>
      <c r="AG279" s="12">
        <f>IF(A279="","",SUMIFS('Assessment Weights'!$D:$D,'Assessment Weights'!$A:$A,A279))</f>
        <v/>
      </c>
      <c r="AH279" s="12">
        <f>IF(A279="","",IF(COUNTIF($A$2:$A$1000,A279)&gt;1,"Duplicate Job ID",IF(AND(AG279&lt;&gt;100,AG279&lt;&gt;0),"Weights must total 100",IF(Z279-Y279&lt;7,"Closing date must be 7+ days after opening","OK"))))</f>
        <v/>
      </c>
    </row>
    <row r="280">
      <c r="Y280" s="13" t="n"/>
      <c r="Z280" s="13" t="n"/>
      <c r="AF280" s="13" t="n"/>
      <c r="AG280" s="12">
        <f>IF(A280="","",SUMIFS('Assessment Weights'!$D:$D,'Assessment Weights'!$A:$A,A280))</f>
        <v/>
      </c>
      <c r="AH280" s="12">
        <f>IF(A280="","",IF(COUNTIF($A$2:$A$1000,A280)&gt;1,"Duplicate Job ID",IF(AND(AG280&lt;&gt;100,AG280&lt;&gt;0),"Weights must total 100",IF(Z280-Y280&lt;7,"Closing date must be 7+ days after opening","OK"))))</f>
        <v/>
      </c>
    </row>
    <row r="281">
      <c r="Y281" s="13" t="n"/>
      <c r="Z281" s="13" t="n"/>
      <c r="AF281" s="13" t="n"/>
      <c r="AG281" s="12">
        <f>IF(A281="","",SUMIFS('Assessment Weights'!$D:$D,'Assessment Weights'!$A:$A,A281))</f>
        <v/>
      </c>
      <c r="AH281" s="12">
        <f>IF(A281="","",IF(COUNTIF($A$2:$A$1000,A281)&gt;1,"Duplicate Job ID",IF(AND(AG281&lt;&gt;100,AG281&lt;&gt;0),"Weights must total 100",IF(Z281-Y281&lt;7,"Closing date must be 7+ days after opening","OK"))))</f>
        <v/>
      </c>
    </row>
    <row r="282">
      <c r="Y282" s="13" t="n"/>
      <c r="Z282" s="13" t="n"/>
      <c r="AF282" s="13" t="n"/>
      <c r="AG282" s="12">
        <f>IF(A282="","",SUMIFS('Assessment Weights'!$D:$D,'Assessment Weights'!$A:$A,A282))</f>
        <v/>
      </c>
      <c r="AH282" s="12">
        <f>IF(A282="","",IF(COUNTIF($A$2:$A$1000,A282)&gt;1,"Duplicate Job ID",IF(AND(AG282&lt;&gt;100,AG282&lt;&gt;0),"Weights must total 100",IF(Z282-Y282&lt;7,"Closing date must be 7+ days after opening","OK"))))</f>
        <v/>
      </c>
    </row>
    <row r="283">
      <c r="Y283" s="13" t="n"/>
      <c r="Z283" s="13" t="n"/>
      <c r="AF283" s="13" t="n"/>
      <c r="AG283" s="12">
        <f>IF(A283="","",SUMIFS('Assessment Weights'!$D:$D,'Assessment Weights'!$A:$A,A283))</f>
        <v/>
      </c>
      <c r="AH283" s="12">
        <f>IF(A283="","",IF(COUNTIF($A$2:$A$1000,A283)&gt;1,"Duplicate Job ID",IF(AND(AG283&lt;&gt;100,AG283&lt;&gt;0),"Weights must total 100",IF(Z283-Y283&lt;7,"Closing date must be 7+ days after opening","OK"))))</f>
        <v/>
      </c>
    </row>
    <row r="284">
      <c r="Y284" s="13" t="n"/>
      <c r="Z284" s="13" t="n"/>
      <c r="AF284" s="13" t="n"/>
      <c r="AG284" s="12">
        <f>IF(A284="","",SUMIFS('Assessment Weights'!$D:$D,'Assessment Weights'!$A:$A,A284))</f>
        <v/>
      </c>
      <c r="AH284" s="12">
        <f>IF(A284="","",IF(COUNTIF($A$2:$A$1000,A284)&gt;1,"Duplicate Job ID",IF(AND(AG284&lt;&gt;100,AG284&lt;&gt;0),"Weights must total 100",IF(Z284-Y284&lt;7,"Closing date must be 7+ days after opening","OK"))))</f>
        <v/>
      </c>
    </row>
    <row r="285">
      <c r="Y285" s="13" t="n"/>
      <c r="Z285" s="13" t="n"/>
      <c r="AF285" s="13" t="n"/>
      <c r="AG285" s="12">
        <f>IF(A285="","",SUMIFS('Assessment Weights'!$D:$D,'Assessment Weights'!$A:$A,A285))</f>
        <v/>
      </c>
      <c r="AH285" s="12">
        <f>IF(A285="","",IF(COUNTIF($A$2:$A$1000,A285)&gt;1,"Duplicate Job ID",IF(AND(AG285&lt;&gt;100,AG285&lt;&gt;0),"Weights must total 100",IF(Z285-Y285&lt;7,"Closing date must be 7+ days after opening","OK"))))</f>
        <v/>
      </c>
    </row>
    <row r="286">
      <c r="Y286" s="13" t="n"/>
      <c r="Z286" s="13" t="n"/>
      <c r="AF286" s="13" t="n"/>
      <c r="AG286" s="12">
        <f>IF(A286="","",SUMIFS('Assessment Weights'!$D:$D,'Assessment Weights'!$A:$A,A286))</f>
        <v/>
      </c>
      <c r="AH286" s="12">
        <f>IF(A286="","",IF(COUNTIF($A$2:$A$1000,A286)&gt;1,"Duplicate Job ID",IF(AND(AG286&lt;&gt;100,AG286&lt;&gt;0),"Weights must total 100",IF(Z286-Y286&lt;7,"Closing date must be 7+ days after opening","OK"))))</f>
        <v/>
      </c>
    </row>
    <row r="287">
      <c r="Y287" s="13" t="n"/>
      <c r="Z287" s="13" t="n"/>
      <c r="AF287" s="13" t="n"/>
      <c r="AG287" s="12">
        <f>IF(A287="","",SUMIFS('Assessment Weights'!$D:$D,'Assessment Weights'!$A:$A,A287))</f>
        <v/>
      </c>
      <c r="AH287" s="12">
        <f>IF(A287="","",IF(COUNTIF($A$2:$A$1000,A287)&gt;1,"Duplicate Job ID",IF(AND(AG287&lt;&gt;100,AG287&lt;&gt;0),"Weights must total 100",IF(Z287-Y287&lt;7,"Closing date must be 7+ days after opening","OK"))))</f>
        <v/>
      </c>
    </row>
    <row r="288">
      <c r="Y288" s="13" t="n"/>
      <c r="Z288" s="13" t="n"/>
      <c r="AF288" s="13" t="n"/>
      <c r="AG288" s="12">
        <f>IF(A288="","",SUMIFS('Assessment Weights'!$D:$D,'Assessment Weights'!$A:$A,A288))</f>
        <v/>
      </c>
      <c r="AH288" s="12">
        <f>IF(A288="","",IF(COUNTIF($A$2:$A$1000,A288)&gt;1,"Duplicate Job ID",IF(AND(AG288&lt;&gt;100,AG288&lt;&gt;0),"Weights must total 100",IF(Z288-Y288&lt;7,"Closing date must be 7+ days after opening","OK"))))</f>
        <v/>
      </c>
    </row>
    <row r="289">
      <c r="Y289" s="13" t="n"/>
      <c r="Z289" s="13" t="n"/>
      <c r="AF289" s="13" t="n"/>
      <c r="AG289" s="12">
        <f>IF(A289="","",SUMIFS('Assessment Weights'!$D:$D,'Assessment Weights'!$A:$A,A289))</f>
        <v/>
      </c>
      <c r="AH289" s="12">
        <f>IF(A289="","",IF(COUNTIF($A$2:$A$1000,A289)&gt;1,"Duplicate Job ID",IF(AND(AG289&lt;&gt;100,AG289&lt;&gt;0),"Weights must total 100",IF(Z289-Y289&lt;7,"Closing date must be 7+ days after opening","OK"))))</f>
        <v/>
      </c>
    </row>
    <row r="290">
      <c r="Y290" s="13" t="n"/>
      <c r="Z290" s="13" t="n"/>
      <c r="AF290" s="13" t="n"/>
      <c r="AG290" s="12">
        <f>IF(A290="","",SUMIFS('Assessment Weights'!$D:$D,'Assessment Weights'!$A:$A,A290))</f>
        <v/>
      </c>
      <c r="AH290" s="12">
        <f>IF(A290="","",IF(COUNTIF($A$2:$A$1000,A290)&gt;1,"Duplicate Job ID",IF(AND(AG290&lt;&gt;100,AG290&lt;&gt;0),"Weights must total 100",IF(Z290-Y290&lt;7,"Closing date must be 7+ days after opening","OK"))))</f>
        <v/>
      </c>
    </row>
    <row r="291">
      <c r="Y291" s="13" t="n"/>
      <c r="Z291" s="13" t="n"/>
      <c r="AF291" s="13" t="n"/>
      <c r="AG291" s="12">
        <f>IF(A291="","",SUMIFS('Assessment Weights'!$D:$D,'Assessment Weights'!$A:$A,A291))</f>
        <v/>
      </c>
      <c r="AH291" s="12">
        <f>IF(A291="","",IF(COUNTIF($A$2:$A$1000,A291)&gt;1,"Duplicate Job ID",IF(AND(AG291&lt;&gt;100,AG291&lt;&gt;0),"Weights must total 100",IF(Z291-Y291&lt;7,"Closing date must be 7+ days after opening","OK"))))</f>
        <v/>
      </c>
    </row>
    <row r="292">
      <c r="Y292" s="13" t="n"/>
      <c r="Z292" s="13" t="n"/>
      <c r="AF292" s="13" t="n"/>
      <c r="AG292" s="12">
        <f>IF(A292="","",SUMIFS('Assessment Weights'!$D:$D,'Assessment Weights'!$A:$A,A292))</f>
        <v/>
      </c>
      <c r="AH292" s="12">
        <f>IF(A292="","",IF(COUNTIF($A$2:$A$1000,A292)&gt;1,"Duplicate Job ID",IF(AND(AG292&lt;&gt;100,AG292&lt;&gt;0),"Weights must total 100",IF(Z292-Y292&lt;7,"Closing date must be 7+ days after opening","OK"))))</f>
        <v/>
      </c>
    </row>
    <row r="293">
      <c r="Y293" s="13" t="n"/>
      <c r="Z293" s="13" t="n"/>
      <c r="AF293" s="13" t="n"/>
      <c r="AG293" s="12">
        <f>IF(A293="","",SUMIFS('Assessment Weights'!$D:$D,'Assessment Weights'!$A:$A,A293))</f>
        <v/>
      </c>
      <c r="AH293" s="12">
        <f>IF(A293="","",IF(COUNTIF($A$2:$A$1000,A293)&gt;1,"Duplicate Job ID",IF(AND(AG293&lt;&gt;100,AG293&lt;&gt;0),"Weights must total 100",IF(Z293-Y293&lt;7,"Closing date must be 7+ days after opening","OK"))))</f>
        <v/>
      </c>
    </row>
    <row r="294">
      <c r="Y294" s="13" t="n"/>
      <c r="Z294" s="13" t="n"/>
      <c r="AF294" s="13" t="n"/>
      <c r="AG294" s="12">
        <f>IF(A294="","",SUMIFS('Assessment Weights'!$D:$D,'Assessment Weights'!$A:$A,A294))</f>
        <v/>
      </c>
      <c r="AH294" s="12">
        <f>IF(A294="","",IF(COUNTIF($A$2:$A$1000,A294)&gt;1,"Duplicate Job ID",IF(AND(AG294&lt;&gt;100,AG294&lt;&gt;0),"Weights must total 100",IF(Z294-Y294&lt;7,"Closing date must be 7+ days after opening","OK"))))</f>
        <v/>
      </c>
    </row>
    <row r="295">
      <c r="Y295" s="13" t="n"/>
      <c r="Z295" s="13" t="n"/>
      <c r="AF295" s="13" t="n"/>
      <c r="AG295" s="12">
        <f>IF(A295="","",SUMIFS('Assessment Weights'!$D:$D,'Assessment Weights'!$A:$A,A295))</f>
        <v/>
      </c>
      <c r="AH295" s="12">
        <f>IF(A295="","",IF(COUNTIF($A$2:$A$1000,A295)&gt;1,"Duplicate Job ID",IF(AND(AG295&lt;&gt;100,AG295&lt;&gt;0),"Weights must total 100",IF(Z295-Y295&lt;7,"Closing date must be 7+ days after opening","OK"))))</f>
        <v/>
      </c>
    </row>
    <row r="296">
      <c r="Y296" s="13" t="n"/>
      <c r="Z296" s="13" t="n"/>
      <c r="AF296" s="13" t="n"/>
      <c r="AG296" s="12">
        <f>IF(A296="","",SUMIFS('Assessment Weights'!$D:$D,'Assessment Weights'!$A:$A,A296))</f>
        <v/>
      </c>
      <c r="AH296" s="12">
        <f>IF(A296="","",IF(COUNTIF($A$2:$A$1000,A296)&gt;1,"Duplicate Job ID",IF(AND(AG296&lt;&gt;100,AG296&lt;&gt;0),"Weights must total 100",IF(Z296-Y296&lt;7,"Closing date must be 7+ days after opening","OK"))))</f>
        <v/>
      </c>
    </row>
    <row r="297">
      <c r="Y297" s="13" t="n"/>
      <c r="Z297" s="13" t="n"/>
      <c r="AF297" s="13" t="n"/>
      <c r="AG297" s="12">
        <f>IF(A297="","",SUMIFS('Assessment Weights'!$D:$D,'Assessment Weights'!$A:$A,A297))</f>
        <v/>
      </c>
      <c r="AH297" s="12">
        <f>IF(A297="","",IF(COUNTIF($A$2:$A$1000,A297)&gt;1,"Duplicate Job ID",IF(AND(AG297&lt;&gt;100,AG297&lt;&gt;0),"Weights must total 100",IF(Z297-Y297&lt;7,"Closing date must be 7+ days after opening","OK"))))</f>
        <v/>
      </c>
    </row>
    <row r="298">
      <c r="Y298" s="13" t="n"/>
      <c r="Z298" s="13" t="n"/>
      <c r="AF298" s="13" t="n"/>
      <c r="AG298" s="12">
        <f>IF(A298="","",SUMIFS('Assessment Weights'!$D:$D,'Assessment Weights'!$A:$A,A298))</f>
        <v/>
      </c>
      <c r="AH298" s="12">
        <f>IF(A298="","",IF(COUNTIF($A$2:$A$1000,A298)&gt;1,"Duplicate Job ID",IF(AND(AG298&lt;&gt;100,AG298&lt;&gt;0),"Weights must total 100",IF(Z298-Y298&lt;7,"Closing date must be 7+ days after opening","OK"))))</f>
        <v/>
      </c>
    </row>
    <row r="299">
      <c r="Y299" s="13" t="n"/>
      <c r="Z299" s="13" t="n"/>
      <c r="AF299" s="13" t="n"/>
      <c r="AG299" s="12">
        <f>IF(A299="","",SUMIFS('Assessment Weights'!$D:$D,'Assessment Weights'!$A:$A,A299))</f>
        <v/>
      </c>
      <c r="AH299" s="12">
        <f>IF(A299="","",IF(COUNTIF($A$2:$A$1000,A299)&gt;1,"Duplicate Job ID",IF(AND(AG299&lt;&gt;100,AG299&lt;&gt;0),"Weights must total 100",IF(Z299-Y299&lt;7,"Closing date must be 7+ days after opening","OK"))))</f>
        <v/>
      </c>
    </row>
    <row r="300">
      <c r="Y300" s="13" t="n"/>
      <c r="Z300" s="13" t="n"/>
      <c r="AF300" s="13" t="n"/>
      <c r="AG300" s="12">
        <f>IF(A300="","",SUMIFS('Assessment Weights'!$D:$D,'Assessment Weights'!$A:$A,A300))</f>
        <v/>
      </c>
      <c r="AH300" s="12">
        <f>IF(A300="","",IF(COUNTIF($A$2:$A$1000,A300)&gt;1,"Duplicate Job ID",IF(AND(AG300&lt;&gt;100,AG300&lt;&gt;0),"Weights must total 100",IF(Z300-Y300&lt;7,"Closing date must be 7+ days after opening","OK"))))</f>
        <v/>
      </c>
    </row>
    <row r="301">
      <c r="Y301" s="13" t="n"/>
      <c r="Z301" s="13" t="n"/>
      <c r="AF301" s="13" t="n"/>
      <c r="AG301" s="12">
        <f>IF(A301="","",SUMIFS('Assessment Weights'!$D:$D,'Assessment Weights'!$A:$A,A301))</f>
        <v/>
      </c>
      <c r="AH301" s="12">
        <f>IF(A301="","",IF(COUNTIF($A$2:$A$1000,A301)&gt;1,"Duplicate Job ID",IF(AND(AG301&lt;&gt;100,AG301&lt;&gt;0),"Weights must total 100",IF(Z301-Y301&lt;7,"Closing date must be 7+ days after opening","OK"))))</f>
        <v/>
      </c>
    </row>
    <row r="302">
      <c r="Y302" s="13" t="n"/>
      <c r="Z302" s="13" t="n"/>
      <c r="AF302" s="13" t="n"/>
      <c r="AG302" s="12">
        <f>IF(A302="","",SUMIFS('Assessment Weights'!$D:$D,'Assessment Weights'!$A:$A,A302))</f>
        <v/>
      </c>
      <c r="AH302" s="12">
        <f>IF(A302="","",IF(COUNTIF($A$2:$A$1000,A302)&gt;1,"Duplicate Job ID",IF(AND(AG302&lt;&gt;100,AG302&lt;&gt;0),"Weights must total 100",IF(Z302-Y302&lt;7,"Closing date must be 7+ days after opening","OK"))))</f>
        <v/>
      </c>
    </row>
    <row r="303">
      <c r="Y303" s="13" t="n"/>
      <c r="Z303" s="13" t="n"/>
      <c r="AF303" s="13" t="n"/>
      <c r="AG303" s="12">
        <f>IF(A303="","",SUMIFS('Assessment Weights'!$D:$D,'Assessment Weights'!$A:$A,A303))</f>
        <v/>
      </c>
      <c r="AH303" s="12">
        <f>IF(A303="","",IF(COUNTIF($A$2:$A$1000,A303)&gt;1,"Duplicate Job ID",IF(AND(AG303&lt;&gt;100,AG303&lt;&gt;0),"Weights must total 100",IF(Z303-Y303&lt;7,"Closing date must be 7+ days after opening","OK"))))</f>
        <v/>
      </c>
    </row>
    <row r="304">
      <c r="Y304" s="13" t="n"/>
      <c r="Z304" s="13" t="n"/>
      <c r="AF304" s="13" t="n"/>
      <c r="AG304" s="12">
        <f>IF(A304="","",SUMIFS('Assessment Weights'!$D:$D,'Assessment Weights'!$A:$A,A304))</f>
        <v/>
      </c>
      <c r="AH304" s="12">
        <f>IF(A304="","",IF(COUNTIF($A$2:$A$1000,A304)&gt;1,"Duplicate Job ID",IF(AND(AG304&lt;&gt;100,AG304&lt;&gt;0),"Weights must total 100",IF(Z304-Y304&lt;7,"Closing date must be 7+ days after opening","OK"))))</f>
        <v/>
      </c>
    </row>
    <row r="305">
      <c r="Y305" s="13" t="n"/>
      <c r="Z305" s="13" t="n"/>
      <c r="AF305" s="13" t="n"/>
      <c r="AG305" s="12">
        <f>IF(A305="","",SUMIFS('Assessment Weights'!$D:$D,'Assessment Weights'!$A:$A,A305))</f>
        <v/>
      </c>
      <c r="AH305" s="12">
        <f>IF(A305="","",IF(COUNTIF($A$2:$A$1000,A305)&gt;1,"Duplicate Job ID",IF(AND(AG305&lt;&gt;100,AG305&lt;&gt;0),"Weights must total 100",IF(Z305-Y305&lt;7,"Closing date must be 7+ days after opening","OK"))))</f>
        <v/>
      </c>
    </row>
    <row r="306">
      <c r="Y306" s="13" t="n"/>
      <c r="Z306" s="13" t="n"/>
      <c r="AF306" s="13" t="n"/>
      <c r="AG306" s="12">
        <f>IF(A306="","",SUMIFS('Assessment Weights'!$D:$D,'Assessment Weights'!$A:$A,A306))</f>
        <v/>
      </c>
      <c r="AH306" s="12">
        <f>IF(A306="","",IF(COUNTIF($A$2:$A$1000,A306)&gt;1,"Duplicate Job ID",IF(AND(AG306&lt;&gt;100,AG306&lt;&gt;0),"Weights must total 100",IF(Z306-Y306&lt;7,"Closing date must be 7+ days after opening","OK"))))</f>
        <v/>
      </c>
    </row>
    <row r="307">
      <c r="Y307" s="13" t="n"/>
      <c r="Z307" s="13" t="n"/>
      <c r="AF307" s="13" t="n"/>
      <c r="AG307" s="12">
        <f>IF(A307="","",SUMIFS('Assessment Weights'!$D:$D,'Assessment Weights'!$A:$A,A307))</f>
        <v/>
      </c>
      <c r="AH307" s="12">
        <f>IF(A307="","",IF(COUNTIF($A$2:$A$1000,A307)&gt;1,"Duplicate Job ID",IF(AND(AG307&lt;&gt;100,AG307&lt;&gt;0),"Weights must total 100",IF(Z307-Y307&lt;7,"Closing date must be 7+ days after opening","OK"))))</f>
        <v/>
      </c>
    </row>
    <row r="308">
      <c r="Y308" s="13" t="n"/>
      <c r="Z308" s="13" t="n"/>
      <c r="AF308" s="13" t="n"/>
      <c r="AG308" s="12">
        <f>IF(A308="","",SUMIFS('Assessment Weights'!$D:$D,'Assessment Weights'!$A:$A,A308))</f>
        <v/>
      </c>
      <c r="AH308" s="12">
        <f>IF(A308="","",IF(COUNTIF($A$2:$A$1000,A308)&gt;1,"Duplicate Job ID",IF(AND(AG308&lt;&gt;100,AG308&lt;&gt;0),"Weights must total 100",IF(Z308-Y308&lt;7,"Closing date must be 7+ days after opening","OK"))))</f>
        <v/>
      </c>
    </row>
    <row r="309">
      <c r="Y309" s="13" t="n"/>
      <c r="Z309" s="13" t="n"/>
      <c r="AF309" s="13" t="n"/>
      <c r="AG309" s="12">
        <f>IF(A309="","",SUMIFS('Assessment Weights'!$D:$D,'Assessment Weights'!$A:$A,A309))</f>
        <v/>
      </c>
      <c r="AH309" s="12">
        <f>IF(A309="","",IF(COUNTIF($A$2:$A$1000,A309)&gt;1,"Duplicate Job ID",IF(AND(AG309&lt;&gt;100,AG309&lt;&gt;0),"Weights must total 100",IF(Z309-Y309&lt;7,"Closing date must be 7+ days after opening","OK"))))</f>
        <v/>
      </c>
    </row>
    <row r="310">
      <c r="Y310" s="13" t="n"/>
      <c r="Z310" s="13" t="n"/>
      <c r="AF310" s="13" t="n"/>
      <c r="AG310" s="12">
        <f>IF(A310="","",SUMIFS('Assessment Weights'!$D:$D,'Assessment Weights'!$A:$A,A310))</f>
        <v/>
      </c>
      <c r="AH310" s="12">
        <f>IF(A310="","",IF(COUNTIF($A$2:$A$1000,A310)&gt;1,"Duplicate Job ID",IF(AND(AG310&lt;&gt;100,AG310&lt;&gt;0),"Weights must total 100",IF(Z310-Y310&lt;7,"Closing date must be 7+ days after opening","OK"))))</f>
        <v/>
      </c>
    </row>
    <row r="311">
      <c r="Y311" s="13" t="n"/>
      <c r="Z311" s="13" t="n"/>
      <c r="AF311" s="13" t="n"/>
      <c r="AG311" s="12">
        <f>IF(A311="","",SUMIFS('Assessment Weights'!$D:$D,'Assessment Weights'!$A:$A,A311))</f>
        <v/>
      </c>
      <c r="AH311" s="12">
        <f>IF(A311="","",IF(COUNTIF($A$2:$A$1000,A311)&gt;1,"Duplicate Job ID",IF(AND(AG311&lt;&gt;100,AG311&lt;&gt;0),"Weights must total 100",IF(Z311-Y311&lt;7,"Closing date must be 7+ days after opening","OK"))))</f>
        <v/>
      </c>
    </row>
    <row r="312">
      <c r="Y312" s="13" t="n"/>
      <c r="Z312" s="13" t="n"/>
      <c r="AF312" s="13" t="n"/>
      <c r="AG312" s="12">
        <f>IF(A312="","",SUMIFS('Assessment Weights'!$D:$D,'Assessment Weights'!$A:$A,A312))</f>
        <v/>
      </c>
      <c r="AH312" s="12">
        <f>IF(A312="","",IF(COUNTIF($A$2:$A$1000,A312)&gt;1,"Duplicate Job ID",IF(AND(AG312&lt;&gt;100,AG312&lt;&gt;0),"Weights must total 100",IF(Z312-Y312&lt;7,"Closing date must be 7+ days after opening","OK"))))</f>
        <v/>
      </c>
    </row>
    <row r="313">
      <c r="Y313" s="13" t="n"/>
      <c r="Z313" s="13" t="n"/>
      <c r="AF313" s="13" t="n"/>
      <c r="AG313" s="12">
        <f>IF(A313="","",SUMIFS('Assessment Weights'!$D:$D,'Assessment Weights'!$A:$A,A313))</f>
        <v/>
      </c>
      <c r="AH313" s="12">
        <f>IF(A313="","",IF(COUNTIF($A$2:$A$1000,A313)&gt;1,"Duplicate Job ID",IF(AND(AG313&lt;&gt;100,AG313&lt;&gt;0),"Weights must total 100",IF(Z313-Y313&lt;7,"Closing date must be 7+ days after opening","OK"))))</f>
        <v/>
      </c>
    </row>
    <row r="314">
      <c r="Y314" s="13" t="n"/>
      <c r="Z314" s="13" t="n"/>
      <c r="AF314" s="13" t="n"/>
      <c r="AG314" s="12">
        <f>IF(A314="","",SUMIFS('Assessment Weights'!$D:$D,'Assessment Weights'!$A:$A,A314))</f>
        <v/>
      </c>
      <c r="AH314" s="12">
        <f>IF(A314="","",IF(COUNTIF($A$2:$A$1000,A314)&gt;1,"Duplicate Job ID",IF(AND(AG314&lt;&gt;100,AG314&lt;&gt;0),"Weights must total 100",IF(Z314-Y314&lt;7,"Closing date must be 7+ days after opening","OK"))))</f>
        <v/>
      </c>
    </row>
    <row r="315">
      <c r="Y315" s="13" t="n"/>
      <c r="Z315" s="13" t="n"/>
      <c r="AF315" s="13" t="n"/>
      <c r="AG315" s="12">
        <f>IF(A315="","",SUMIFS('Assessment Weights'!$D:$D,'Assessment Weights'!$A:$A,A315))</f>
        <v/>
      </c>
      <c r="AH315" s="12">
        <f>IF(A315="","",IF(COUNTIF($A$2:$A$1000,A315)&gt;1,"Duplicate Job ID",IF(AND(AG315&lt;&gt;100,AG315&lt;&gt;0),"Weights must total 100",IF(Z315-Y315&lt;7,"Closing date must be 7+ days after opening","OK"))))</f>
        <v/>
      </c>
    </row>
    <row r="316">
      <c r="Y316" s="13" t="n"/>
      <c r="Z316" s="13" t="n"/>
      <c r="AF316" s="13" t="n"/>
      <c r="AG316" s="12">
        <f>IF(A316="","",SUMIFS('Assessment Weights'!$D:$D,'Assessment Weights'!$A:$A,A316))</f>
        <v/>
      </c>
      <c r="AH316" s="12">
        <f>IF(A316="","",IF(COUNTIF($A$2:$A$1000,A316)&gt;1,"Duplicate Job ID",IF(AND(AG316&lt;&gt;100,AG316&lt;&gt;0),"Weights must total 100",IF(Z316-Y316&lt;7,"Closing date must be 7+ days after opening","OK"))))</f>
        <v/>
      </c>
    </row>
    <row r="317">
      <c r="Y317" s="13" t="n"/>
      <c r="Z317" s="13" t="n"/>
      <c r="AF317" s="13" t="n"/>
      <c r="AG317" s="12">
        <f>IF(A317="","",SUMIFS('Assessment Weights'!$D:$D,'Assessment Weights'!$A:$A,A317))</f>
        <v/>
      </c>
      <c r="AH317" s="12">
        <f>IF(A317="","",IF(COUNTIF($A$2:$A$1000,A317)&gt;1,"Duplicate Job ID",IF(AND(AG317&lt;&gt;100,AG317&lt;&gt;0),"Weights must total 100",IF(Z317-Y317&lt;7,"Closing date must be 7+ days after opening","OK"))))</f>
        <v/>
      </c>
    </row>
    <row r="318">
      <c r="Y318" s="13" t="n"/>
      <c r="Z318" s="13" t="n"/>
      <c r="AF318" s="13" t="n"/>
      <c r="AG318" s="12">
        <f>IF(A318="","",SUMIFS('Assessment Weights'!$D:$D,'Assessment Weights'!$A:$A,A318))</f>
        <v/>
      </c>
      <c r="AH318" s="12">
        <f>IF(A318="","",IF(COUNTIF($A$2:$A$1000,A318)&gt;1,"Duplicate Job ID",IF(AND(AG318&lt;&gt;100,AG318&lt;&gt;0),"Weights must total 100",IF(Z318-Y318&lt;7,"Closing date must be 7+ days after opening","OK"))))</f>
        <v/>
      </c>
    </row>
    <row r="319">
      <c r="Y319" s="13" t="n"/>
      <c r="Z319" s="13" t="n"/>
      <c r="AF319" s="13" t="n"/>
      <c r="AG319" s="12">
        <f>IF(A319="","",SUMIFS('Assessment Weights'!$D:$D,'Assessment Weights'!$A:$A,A319))</f>
        <v/>
      </c>
      <c r="AH319" s="12">
        <f>IF(A319="","",IF(COUNTIF($A$2:$A$1000,A319)&gt;1,"Duplicate Job ID",IF(AND(AG319&lt;&gt;100,AG319&lt;&gt;0),"Weights must total 100",IF(Z319-Y319&lt;7,"Closing date must be 7+ days after opening","OK"))))</f>
        <v/>
      </c>
    </row>
    <row r="320">
      <c r="Y320" s="13" t="n"/>
      <c r="Z320" s="13" t="n"/>
      <c r="AF320" s="13" t="n"/>
      <c r="AG320" s="12">
        <f>IF(A320="","",SUMIFS('Assessment Weights'!$D:$D,'Assessment Weights'!$A:$A,A320))</f>
        <v/>
      </c>
      <c r="AH320" s="12">
        <f>IF(A320="","",IF(COUNTIF($A$2:$A$1000,A320)&gt;1,"Duplicate Job ID",IF(AND(AG320&lt;&gt;100,AG320&lt;&gt;0),"Weights must total 100",IF(Z320-Y320&lt;7,"Closing date must be 7+ days after opening","OK"))))</f>
        <v/>
      </c>
    </row>
    <row r="321">
      <c r="Y321" s="13" t="n"/>
      <c r="Z321" s="13" t="n"/>
      <c r="AF321" s="13" t="n"/>
      <c r="AG321" s="12">
        <f>IF(A321="","",SUMIFS('Assessment Weights'!$D:$D,'Assessment Weights'!$A:$A,A321))</f>
        <v/>
      </c>
      <c r="AH321" s="12">
        <f>IF(A321="","",IF(COUNTIF($A$2:$A$1000,A321)&gt;1,"Duplicate Job ID",IF(AND(AG321&lt;&gt;100,AG321&lt;&gt;0),"Weights must total 100",IF(Z321-Y321&lt;7,"Closing date must be 7+ days after opening","OK"))))</f>
        <v/>
      </c>
    </row>
    <row r="322">
      <c r="Y322" s="13" t="n"/>
      <c r="Z322" s="13" t="n"/>
      <c r="AF322" s="13" t="n"/>
      <c r="AG322" s="12">
        <f>IF(A322="","",SUMIFS('Assessment Weights'!$D:$D,'Assessment Weights'!$A:$A,A322))</f>
        <v/>
      </c>
      <c r="AH322" s="12">
        <f>IF(A322="","",IF(COUNTIF($A$2:$A$1000,A322)&gt;1,"Duplicate Job ID",IF(AND(AG322&lt;&gt;100,AG322&lt;&gt;0),"Weights must total 100",IF(Z322-Y322&lt;7,"Closing date must be 7+ days after opening","OK"))))</f>
        <v/>
      </c>
    </row>
    <row r="323">
      <c r="Y323" s="13" t="n"/>
      <c r="Z323" s="13" t="n"/>
      <c r="AF323" s="13" t="n"/>
      <c r="AG323" s="12">
        <f>IF(A323="","",SUMIFS('Assessment Weights'!$D:$D,'Assessment Weights'!$A:$A,A323))</f>
        <v/>
      </c>
      <c r="AH323" s="12">
        <f>IF(A323="","",IF(COUNTIF($A$2:$A$1000,A323)&gt;1,"Duplicate Job ID",IF(AND(AG323&lt;&gt;100,AG323&lt;&gt;0),"Weights must total 100",IF(Z323-Y323&lt;7,"Closing date must be 7+ days after opening","OK"))))</f>
        <v/>
      </c>
    </row>
    <row r="324">
      <c r="Y324" s="13" t="n"/>
      <c r="Z324" s="13" t="n"/>
      <c r="AF324" s="13" t="n"/>
      <c r="AG324" s="12">
        <f>IF(A324="","",SUMIFS('Assessment Weights'!$D:$D,'Assessment Weights'!$A:$A,A324))</f>
        <v/>
      </c>
      <c r="AH324" s="12">
        <f>IF(A324="","",IF(COUNTIF($A$2:$A$1000,A324)&gt;1,"Duplicate Job ID",IF(AND(AG324&lt;&gt;100,AG324&lt;&gt;0),"Weights must total 100",IF(Z324-Y324&lt;7,"Closing date must be 7+ days after opening","OK"))))</f>
        <v/>
      </c>
    </row>
    <row r="325">
      <c r="Y325" s="13" t="n"/>
      <c r="Z325" s="13" t="n"/>
      <c r="AF325" s="13" t="n"/>
      <c r="AG325" s="12">
        <f>IF(A325="","",SUMIFS('Assessment Weights'!$D:$D,'Assessment Weights'!$A:$A,A325))</f>
        <v/>
      </c>
      <c r="AH325" s="12">
        <f>IF(A325="","",IF(COUNTIF($A$2:$A$1000,A325)&gt;1,"Duplicate Job ID",IF(AND(AG325&lt;&gt;100,AG325&lt;&gt;0),"Weights must total 100",IF(Z325-Y325&lt;7,"Closing date must be 7+ days after opening","OK"))))</f>
        <v/>
      </c>
    </row>
    <row r="326">
      <c r="Y326" s="13" t="n"/>
      <c r="Z326" s="13" t="n"/>
      <c r="AF326" s="13" t="n"/>
      <c r="AG326" s="12">
        <f>IF(A326="","",SUMIFS('Assessment Weights'!$D:$D,'Assessment Weights'!$A:$A,A326))</f>
        <v/>
      </c>
      <c r="AH326" s="12">
        <f>IF(A326="","",IF(COUNTIF($A$2:$A$1000,A326)&gt;1,"Duplicate Job ID",IF(AND(AG326&lt;&gt;100,AG326&lt;&gt;0),"Weights must total 100",IF(Z326-Y326&lt;7,"Closing date must be 7+ days after opening","OK"))))</f>
        <v/>
      </c>
    </row>
    <row r="327">
      <c r="Y327" s="13" t="n"/>
      <c r="Z327" s="13" t="n"/>
      <c r="AF327" s="13" t="n"/>
      <c r="AG327" s="12">
        <f>IF(A327="","",SUMIFS('Assessment Weights'!$D:$D,'Assessment Weights'!$A:$A,A327))</f>
        <v/>
      </c>
      <c r="AH327" s="12">
        <f>IF(A327="","",IF(COUNTIF($A$2:$A$1000,A327)&gt;1,"Duplicate Job ID",IF(AND(AG327&lt;&gt;100,AG327&lt;&gt;0),"Weights must total 100",IF(Z327-Y327&lt;7,"Closing date must be 7+ days after opening","OK"))))</f>
        <v/>
      </c>
    </row>
    <row r="328">
      <c r="Y328" s="13" t="n"/>
      <c r="Z328" s="13" t="n"/>
      <c r="AF328" s="13" t="n"/>
      <c r="AG328" s="12">
        <f>IF(A328="","",SUMIFS('Assessment Weights'!$D:$D,'Assessment Weights'!$A:$A,A328))</f>
        <v/>
      </c>
      <c r="AH328" s="12">
        <f>IF(A328="","",IF(COUNTIF($A$2:$A$1000,A328)&gt;1,"Duplicate Job ID",IF(AND(AG328&lt;&gt;100,AG328&lt;&gt;0),"Weights must total 100",IF(Z328-Y328&lt;7,"Closing date must be 7+ days after opening","OK"))))</f>
        <v/>
      </c>
    </row>
    <row r="329">
      <c r="Y329" s="13" t="n"/>
      <c r="Z329" s="13" t="n"/>
      <c r="AF329" s="13" t="n"/>
      <c r="AG329" s="12">
        <f>IF(A329="","",SUMIFS('Assessment Weights'!$D:$D,'Assessment Weights'!$A:$A,A329))</f>
        <v/>
      </c>
      <c r="AH329" s="12">
        <f>IF(A329="","",IF(COUNTIF($A$2:$A$1000,A329)&gt;1,"Duplicate Job ID",IF(AND(AG329&lt;&gt;100,AG329&lt;&gt;0),"Weights must total 100",IF(Z329-Y329&lt;7,"Closing date must be 7+ days after opening","OK"))))</f>
        <v/>
      </c>
    </row>
    <row r="330">
      <c r="Y330" s="13" t="n"/>
      <c r="Z330" s="13" t="n"/>
      <c r="AF330" s="13" t="n"/>
      <c r="AG330" s="12">
        <f>IF(A330="","",SUMIFS('Assessment Weights'!$D:$D,'Assessment Weights'!$A:$A,A330))</f>
        <v/>
      </c>
      <c r="AH330" s="12">
        <f>IF(A330="","",IF(COUNTIF($A$2:$A$1000,A330)&gt;1,"Duplicate Job ID",IF(AND(AG330&lt;&gt;100,AG330&lt;&gt;0),"Weights must total 100",IF(Z330-Y330&lt;7,"Closing date must be 7+ days after opening","OK"))))</f>
        <v/>
      </c>
    </row>
    <row r="331">
      <c r="Y331" s="13" t="n"/>
      <c r="Z331" s="13" t="n"/>
      <c r="AF331" s="13" t="n"/>
      <c r="AG331" s="12">
        <f>IF(A331="","",SUMIFS('Assessment Weights'!$D:$D,'Assessment Weights'!$A:$A,A331))</f>
        <v/>
      </c>
      <c r="AH331" s="12">
        <f>IF(A331="","",IF(COUNTIF($A$2:$A$1000,A331)&gt;1,"Duplicate Job ID",IF(AND(AG331&lt;&gt;100,AG331&lt;&gt;0),"Weights must total 100",IF(Z331-Y331&lt;7,"Closing date must be 7+ days after opening","OK"))))</f>
        <v/>
      </c>
    </row>
    <row r="332">
      <c r="Y332" s="13" t="n"/>
      <c r="Z332" s="13" t="n"/>
      <c r="AF332" s="13" t="n"/>
      <c r="AG332" s="12">
        <f>IF(A332="","",SUMIFS('Assessment Weights'!$D:$D,'Assessment Weights'!$A:$A,A332))</f>
        <v/>
      </c>
      <c r="AH332" s="12">
        <f>IF(A332="","",IF(COUNTIF($A$2:$A$1000,A332)&gt;1,"Duplicate Job ID",IF(AND(AG332&lt;&gt;100,AG332&lt;&gt;0),"Weights must total 100",IF(Z332-Y332&lt;7,"Closing date must be 7+ days after opening","OK"))))</f>
        <v/>
      </c>
    </row>
    <row r="333">
      <c r="Y333" s="13" t="n"/>
      <c r="Z333" s="13" t="n"/>
      <c r="AF333" s="13" t="n"/>
      <c r="AG333" s="12">
        <f>IF(A333="","",SUMIFS('Assessment Weights'!$D:$D,'Assessment Weights'!$A:$A,A333))</f>
        <v/>
      </c>
      <c r="AH333" s="12">
        <f>IF(A333="","",IF(COUNTIF($A$2:$A$1000,A333)&gt;1,"Duplicate Job ID",IF(AND(AG333&lt;&gt;100,AG333&lt;&gt;0),"Weights must total 100",IF(Z333-Y333&lt;7,"Closing date must be 7+ days after opening","OK"))))</f>
        <v/>
      </c>
    </row>
    <row r="334">
      <c r="Y334" s="13" t="n"/>
      <c r="Z334" s="13" t="n"/>
      <c r="AF334" s="13" t="n"/>
      <c r="AG334" s="12">
        <f>IF(A334="","",SUMIFS('Assessment Weights'!$D:$D,'Assessment Weights'!$A:$A,A334))</f>
        <v/>
      </c>
      <c r="AH334" s="12">
        <f>IF(A334="","",IF(COUNTIF($A$2:$A$1000,A334)&gt;1,"Duplicate Job ID",IF(AND(AG334&lt;&gt;100,AG334&lt;&gt;0),"Weights must total 100",IF(Z334-Y334&lt;7,"Closing date must be 7+ days after opening","OK"))))</f>
        <v/>
      </c>
    </row>
    <row r="335">
      <c r="Y335" s="13" t="n"/>
      <c r="Z335" s="13" t="n"/>
      <c r="AF335" s="13" t="n"/>
      <c r="AG335" s="12">
        <f>IF(A335="","",SUMIFS('Assessment Weights'!$D:$D,'Assessment Weights'!$A:$A,A335))</f>
        <v/>
      </c>
      <c r="AH335" s="12">
        <f>IF(A335="","",IF(COUNTIF($A$2:$A$1000,A335)&gt;1,"Duplicate Job ID",IF(AND(AG335&lt;&gt;100,AG335&lt;&gt;0),"Weights must total 100",IF(Z335-Y335&lt;7,"Closing date must be 7+ days after opening","OK"))))</f>
        <v/>
      </c>
    </row>
    <row r="336">
      <c r="Y336" s="13" t="n"/>
      <c r="Z336" s="13" t="n"/>
      <c r="AF336" s="13" t="n"/>
      <c r="AG336" s="12">
        <f>IF(A336="","",SUMIFS('Assessment Weights'!$D:$D,'Assessment Weights'!$A:$A,A336))</f>
        <v/>
      </c>
      <c r="AH336" s="12">
        <f>IF(A336="","",IF(COUNTIF($A$2:$A$1000,A336)&gt;1,"Duplicate Job ID",IF(AND(AG336&lt;&gt;100,AG336&lt;&gt;0),"Weights must total 100",IF(Z336-Y336&lt;7,"Closing date must be 7+ days after opening","OK"))))</f>
        <v/>
      </c>
    </row>
    <row r="337">
      <c r="Y337" s="13" t="n"/>
      <c r="Z337" s="13" t="n"/>
      <c r="AF337" s="13" t="n"/>
      <c r="AG337" s="12">
        <f>IF(A337="","",SUMIFS('Assessment Weights'!$D:$D,'Assessment Weights'!$A:$A,A337))</f>
        <v/>
      </c>
      <c r="AH337" s="12">
        <f>IF(A337="","",IF(COUNTIF($A$2:$A$1000,A337)&gt;1,"Duplicate Job ID",IF(AND(AG337&lt;&gt;100,AG337&lt;&gt;0),"Weights must total 100",IF(Z337-Y337&lt;7,"Closing date must be 7+ days after opening","OK"))))</f>
        <v/>
      </c>
    </row>
    <row r="338">
      <c r="Y338" s="13" t="n"/>
      <c r="Z338" s="13" t="n"/>
      <c r="AF338" s="13" t="n"/>
      <c r="AG338" s="12">
        <f>IF(A338="","",SUMIFS('Assessment Weights'!$D:$D,'Assessment Weights'!$A:$A,A338))</f>
        <v/>
      </c>
      <c r="AH338" s="12">
        <f>IF(A338="","",IF(COUNTIF($A$2:$A$1000,A338)&gt;1,"Duplicate Job ID",IF(AND(AG338&lt;&gt;100,AG338&lt;&gt;0),"Weights must total 100",IF(Z338-Y338&lt;7,"Closing date must be 7+ days after opening","OK"))))</f>
        <v/>
      </c>
    </row>
    <row r="339">
      <c r="Y339" s="13" t="n"/>
      <c r="Z339" s="13" t="n"/>
      <c r="AF339" s="13" t="n"/>
      <c r="AG339" s="12">
        <f>IF(A339="","",SUMIFS('Assessment Weights'!$D:$D,'Assessment Weights'!$A:$A,A339))</f>
        <v/>
      </c>
      <c r="AH339" s="12">
        <f>IF(A339="","",IF(COUNTIF($A$2:$A$1000,A339)&gt;1,"Duplicate Job ID",IF(AND(AG339&lt;&gt;100,AG339&lt;&gt;0),"Weights must total 100",IF(Z339-Y339&lt;7,"Closing date must be 7+ days after opening","OK"))))</f>
        <v/>
      </c>
    </row>
    <row r="340">
      <c r="Y340" s="13" t="n"/>
      <c r="Z340" s="13" t="n"/>
      <c r="AF340" s="13" t="n"/>
      <c r="AG340" s="12">
        <f>IF(A340="","",SUMIFS('Assessment Weights'!$D:$D,'Assessment Weights'!$A:$A,A340))</f>
        <v/>
      </c>
      <c r="AH340" s="12">
        <f>IF(A340="","",IF(COUNTIF($A$2:$A$1000,A340)&gt;1,"Duplicate Job ID",IF(AND(AG340&lt;&gt;100,AG340&lt;&gt;0),"Weights must total 100",IF(Z340-Y340&lt;7,"Closing date must be 7+ days after opening","OK"))))</f>
        <v/>
      </c>
    </row>
    <row r="341">
      <c r="Y341" s="13" t="n"/>
      <c r="Z341" s="13" t="n"/>
      <c r="AF341" s="13" t="n"/>
      <c r="AG341" s="12">
        <f>IF(A341="","",SUMIFS('Assessment Weights'!$D:$D,'Assessment Weights'!$A:$A,A341))</f>
        <v/>
      </c>
      <c r="AH341" s="12">
        <f>IF(A341="","",IF(COUNTIF($A$2:$A$1000,A341)&gt;1,"Duplicate Job ID",IF(AND(AG341&lt;&gt;100,AG341&lt;&gt;0),"Weights must total 100",IF(Z341-Y341&lt;7,"Closing date must be 7+ days after opening","OK"))))</f>
        <v/>
      </c>
    </row>
    <row r="342">
      <c r="Y342" s="13" t="n"/>
      <c r="Z342" s="13" t="n"/>
      <c r="AF342" s="13" t="n"/>
      <c r="AG342" s="12">
        <f>IF(A342="","",SUMIFS('Assessment Weights'!$D:$D,'Assessment Weights'!$A:$A,A342))</f>
        <v/>
      </c>
      <c r="AH342" s="12">
        <f>IF(A342="","",IF(COUNTIF($A$2:$A$1000,A342)&gt;1,"Duplicate Job ID",IF(AND(AG342&lt;&gt;100,AG342&lt;&gt;0),"Weights must total 100",IF(Z342-Y342&lt;7,"Closing date must be 7+ days after opening","OK"))))</f>
        <v/>
      </c>
    </row>
    <row r="343">
      <c r="Y343" s="13" t="n"/>
      <c r="Z343" s="13" t="n"/>
      <c r="AF343" s="13" t="n"/>
      <c r="AG343" s="12">
        <f>IF(A343="","",SUMIFS('Assessment Weights'!$D:$D,'Assessment Weights'!$A:$A,A343))</f>
        <v/>
      </c>
      <c r="AH343" s="12">
        <f>IF(A343="","",IF(COUNTIF($A$2:$A$1000,A343)&gt;1,"Duplicate Job ID",IF(AND(AG343&lt;&gt;100,AG343&lt;&gt;0),"Weights must total 100",IF(Z343-Y343&lt;7,"Closing date must be 7+ days after opening","OK"))))</f>
        <v/>
      </c>
    </row>
    <row r="344">
      <c r="Y344" s="13" t="n"/>
      <c r="Z344" s="13" t="n"/>
      <c r="AF344" s="13" t="n"/>
      <c r="AG344" s="12">
        <f>IF(A344="","",SUMIFS('Assessment Weights'!$D:$D,'Assessment Weights'!$A:$A,A344))</f>
        <v/>
      </c>
      <c r="AH344" s="12">
        <f>IF(A344="","",IF(COUNTIF($A$2:$A$1000,A344)&gt;1,"Duplicate Job ID",IF(AND(AG344&lt;&gt;100,AG344&lt;&gt;0),"Weights must total 100",IF(Z344-Y344&lt;7,"Closing date must be 7+ days after opening","OK"))))</f>
        <v/>
      </c>
    </row>
    <row r="345">
      <c r="Y345" s="13" t="n"/>
      <c r="Z345" s="13" t="n"/>
      <c r="AF345" s="13" t="n"/>
      <c r="AG345" s="12">
        <f>IF(A345="","",SUMIFS('Assessment Weights'!$D:$D,'Assessment Weights'!$A:$A,A345))</f>
        <v/>
      </c>
      <c r="AH345" s="12">
        <f>IF(A345="","",IF(COUNTIF($A$2:$A$1000,A345)&gt;1,"Duplicate Job ID",IF(AND(AG345&lt;&gt;100,AG345&lt;&gt;0),"Weights must total 100",IF(Z345-Y345&lt;7,"Closing date must be 7+ days after opening","OK"))))</f>
        <v/>
      </c>
    </row>
    <row r="346">
      <c r="Y346" s="13" t="n"/>
      <c r="Z346" s="13" t="n"/>
      <c r="AF346" s="13" t="n"/>
      <c r="AG346" s="12">
        <f>IF(A346="","",SUMIFS('Assessment Weights'!$D:$D,'Assessment Weights'!$A:$A,A346))</f>
        <v/>
      </c>
      <c r="AH346" s="12">
        <f>IF(A346="","",IF(COUNTIF($A$2:$A$1000,A346)&gt;1,"Duplicate Job ID",IF(AND(AG346&lt;&gt;100,AG346&lt;&gt;0),"Weights must total 100",IF(Z346-Y346&lt;7,"Closing date must be 7+ days after opening","OK"))))</f>
        <v/>
      </c>
    </row>
    <row r="347">
      <c r="Y347" s="13" t="n"/>
      <c r="Z347" s="13" t="n"/>
      <c r="AF347" s="13" t="n"/>
      <c r="AG347" s="12">
        <f>IF(A347="","",SUMIFS('Assessment Weights'!$D:$D,'Assessment Weights'!$A:$A,A347))</f>
        <v/>
      </c>
      <c r="AH347" s="12">
        <f>IF(A347="","",IF(COUNTIF($A$2:$A$1000,A347)&gt;1,"Duplicate Job ID",IF(AND(AG347&lt;&gt;100,AG347&lt;&gt;0),"Weights must total 100",IF(Z347-Y347&lt;7,"Closing date must be 7+ days after opening","OK"))))</f>
        <v/>
      </c>
    </row>
    <row r="348">
      <c r="Y348" s="13" t="n"/>
      <c r="Z348" s="13" t="n"/>
      <c r="AF348" s="13" t="n"/>
      <c r="AG348" s="12">
        <f>IF(A348="","",SUMIFS('Assessment Weights'!$D:$D,'Assessment Weights'!$A:$A,A348))</f>
        <v/>
      </c>
      <c r="AH348" s="12">
        <f>IF(A348="","",IF(COUNTIF($A$2:$A$1000,A348)&gt;1,"Duplicate Job ID",IF(AND(AG348&lt;&gt;100,AG348&lt;&gt;0),"Weights must total 100",IF(Z348-Y348&lt;7,"Closing date must be 7+ days after opening","OK"))))</f>
        <v/>
      </c>
    </row>
    <row r="349">
      <c r="Y349" s="13" t="n"/>
      <c r="Z349" s="13" t="n"/>
      <c r="AF349" s="13" t="n"/>
      <c r="AG349" s="12">
        <f>IF(A349="","",SUMIFS('Assessment Weights'!$D:$D,'Assessment Weights'!$A:$A,A349))</f>
        <v/>
      </c>
      <c r="AH349" s="12">
        <f>IF(A349="","",IF(COUNTIF($A$2:$A$1000,A349)&gt;1,"Duplicate Job ID",IF(AND(AG349&lt;&gt;100,AG349&lt;&gt;0),"Weights must total 100",IF(Z349-Y349&lt;7,"Closing date must be 7+ days after opening","OK"))))</f>
        <v/>
      </c>
    </row>
    <row r="350">
      <c r="Y350" s="13" t="n"/>
      <c r="Z350" s="13" t="n"/>
      <c r="AF350" s="13" t="n"/>
      <c r="AG350" s="12">
        <f>IF(A350="","",SUMIFS('Assessment Weights'!$D:$D,'Assessment Weights'!$A:$A,A350))</f>
        <v/>
      </c>
      <c r="AH350" s="12">
        <f>IF(A350="","",IF(COUNTIF($A$2:$A$1000,A350)&gt;1,"Duplicate Job ID",IF(AND(AG350&lt;&gt;100,AG350&lt;&gt;0),"Weights must total 100",IF(Z350-Y350&lt;7,"Closing date must be 7+ days after opening","OK"))))</f>
        <v/>
      </c>
    </row>
    <row r="351">
      <c r="Y351" s="13" t="n"/>
      <c r="Z351" s="13" t="n"/>
      <c r="AF351" s="13" t="n"/>
      <c r="AG351" s="12">
        <f>IF(A351="","",SUMIFS('Assessment Weights'!$D:$D,'Assessment Weights'!$A:$A,A351))</f>
        <v/>
      </c>
      <c r="AH351" s="12">
        <f>IF(A351="","",IF(COUNTIF($A$2:$A$1000,A351)&gt;1,"Duplicate Job ID",IF(AND(AG351&lt;&gt;100,AG351&lt;&gt;0),"Weights must total 100",IF(Z351-Y351&lt;7,"Closing date must be 7+ days after opening","OK"))))</f>
        <v/>
      </c>
    </row>
    <row r="352">
      <c r="Y352" s="13" t="n"/>
      <c r="Z352" s="13" t="n"/>
      <c r="AF352" s="13" t="n"/>
      <c r="AG352" s="12">
        <f>IF(A352="","",SUMIFS('Assessment Weights'!$D:$D,'Assessment Weights'!$A:$A,A352))</f>
        <v/>
      </c>
      <c r="AH352" s="12">
        <f>IF(A352="","",IF(COUNTIF($A$2:$A$1000,A352)&gt;1,"Duplicate Job ID",IF(AND(AG352&lt;&gt;100,AG352&lt;&gt;0),"Weights must total 100",IF(Z352-Y352&lt;7,"Closing date must be 7+ days after opening","OK"))))</f>
        <v/>
      </c>
    </row>
    <row r="353">
      <c r="Y353" s="13" t="n"/>
      <c r="Z353" s="13" t="n"/>
      <c r="AF353" s="13" t="n"/>
      <c r="AG353" s="12">
        <f>IF(A353="","",SUMIFS('Assessment Weights'!$D:$D,'Assessment Weights'!$A:$A,A353))</f>
        <v/>
      </c>
      <c r="AH353" s="12">
        <f>IF(A353="","",IF(COUNTIF($A$2:$A$1000,A353)&gt;1,"Duplicate Job ID",IF(AND(AG353&lt;&gt;100,AG353&lt;&gt;0),"Weights must total 100",IF(Z353-Y353&lt;7,"Closing date must be 7+ days after opening","OK"))))</f>
        <v/>
      </c>
    </row>
    <row r="354">
      <c r="Y354" s="13" t="n"/>
      <c r="Z354" s="13" t="n"/>
      <c r="AF354" s="13" t="n"/>
      <c r="AG354" s="12">
        <f>IF(A354="","",SUMIFS('Assessment Weights'!$D:$D,'Assessment Weights'!$A:$A,A354))</f>
        <v/>
      </c>
      <c r="AH354" s="12">
        <f>IF(A354="","",IF(COUNTIF($A$2:$A$1000,A354)&gt;1,"Duplicate Job ID",IF(AND(AG354&lt;&gt;100,AG354&lt;&gt;0),"Weights must total 100",IF(Z354-Y354&lt;7,"Closing date must be 7+ days after opening","OK"))))</f>
        <v/>
      </c>
    </row>
    <row r="355">
      <c r="Y355" s="13" t="n"/>
      <c r="Z355" s="13" t="n"/>
      <c r="AF355" s="13" t="n"/>
      <c r="AG355" s="12">
        <f>IF(A355="","",SUMIFS('Assessment Weights'!$D:$D,'Assessment Weights'!$A:$A,A355))</f>
        <v/>
      </c>
      <c r="AH355" s="12">
        <f>IF(A355="","",IF(COUNTIF($A$2:$A$1000,A355)&gt;1,"Duplicate Job ID",IF(AND(AG355&lt;&gt;100,AG355&lt;&gt;0),"Weights must total 100",IF(Z355-Y355&lt;7,"Closing date must be 7+ days after opening","OK"))))</f>
        <v/>
      </c>
    </row>
    <row r="356">
      <c r="Y356" s="13" t="n"/>
      <c r="Z356" s="13" t="n"/>
      <c r="AF356" s="13" t="n"/>
      <c r="AG356" s="12">
        <f>IF(A356="","",SUMIFS('Assessment Weights'!$D:$D,'Assessment Weights'!$A:$A,A356))</f>
        <v/>
      </c>
      <c r="AH356" s="12">
        <f>IF(A356="","",IF(COUNTIF($A$2:$A$1000,A356)&gt;1,"Duplicate Job ID",IF(AND(AG356&lt;&gt;100,AG356&lt;&gt;0),"Weights must total 100",IF(Z356-Y356&lt;7,"Closing date must be 7+ days after opening","OK"))))</f>
        <v/>
      </c>
    </row>
    <row r="357">
      <c r="Y357" s="13" t="n"/>
      <c r="Z357" s="13" t="n"/>
      <c r="AF357" s="13" t="n"/>
      <c r="AG357" s="12">
        <f>IF(A357="","",SUMIFS('Assessment Weights'!$D:$D,'Assessment Weights'!$A:$A,A357))</f>
        <v/>
      </c>
      <c r="AH357" s="12">
        <f>IF(A357="","",IF(COUNTIF($A$2:$A$1000,A357)&gt;1,"Duplicate Job ID",IF(AND(AG357&lt;&gt;100,AG357&lt;&gt;0),"Weights must total 100",IF(Z357-Y357&lt;7,"Closing date must be 7+ days after opening","OK"))))</f>
        <v/>
      </c>
    </row>
    <row r="358">
      <c r="Y358" s="13" t="n"/>
      <c r="Z358" s="13" t="n"/>
      <c r="AF358" s="13" t="n"/>
      <c r="AG358" s="12">
        <f>IF(A358="","",SUMIFS('Assessment Weights'!$D:$D,'Assessment Weights'!$A:$A,A358))</f>
        <v/>
      </c>
      <c r="AH358" s="12">
        <f>IF(A358="","",IF(COUNTIF($A$2:$A$1000,A358)&gt;1,"Duplicate Job ID",IF(AND(AG358&lt;&gt;100,AG358&lt;&gt;0),"Weights must total 100",IF(Z358-Y358&lt;7,"Closing date must be 7+ days after opening","OK"))))</f>
        <v/>
      </c>
    </row>
    <row r="359">
      <c r="Y359" s="13" t="n"/>
      <c r="Z359" s="13" t="n"/>
      <c r="AF359" s="13" t="n"/>
      <c r="AG359" s="12">
        <f>IF(A359="","",SUMIFS('Assessment Weights'!$D:$D,'Assessment Weights'!$A:$A,A359))</f>
        <v/>
      </c>
      <c r="AH359" s="12">
        <f>IF(A359="","",IF(COUNTIF($A$2:$A$1000,A359)&gt;1,"Duplicate Job ID",IF(AND(AG359&lt;&gt;100,AG359&lt;&gt;0),"Weights must total 100",IF(Z359-Y359&lt;7,"Closing date must be 7+ days after opening","OK"))))</f>
        <v/>
      </c>
    </row>
    <row r="360">
      <c r="Y360" s="13" t="n"/>
      <c r="Z360" s="13" t="n"/>
      <c r="AF360" s="13" t="n"/>
      <c r="AG360" s="12">
        <f>IF(A360="","",SUMIFS('Assessment Weights'!$D:$D,'Assessment Weights'!$A:$A,A360))</f>
        <v/>
      </c>
      <c r="AH360" s="12">
        <f>IF(A360="","",IF(COUNTIF($A$2:$A$1000,A360)&gt;1,"Duplicate Job ID",IF(AND(AG360&lt;&gt;100,AG360&lt;&gt;0),"Weights must total 100",IF(Z360-Y360&lt;7,"Closing date must be 7+ days after opening","OK"))))</f>
        <v/>
      </c>
    </row>
    <row r="361">
      <c r="Y361" s="13" t="n"/>
      <c r="Z361" s="13" t="n"/>
      <c r="AF361" s="13" t="n"/>
      <c r="AG361" s="12">
        <f>IF(A361="","",SUMIFS('Assessment Weights'!$D:$D,'Assessment Weights'!$A:$A,A361))</f>
        <v/>
      </c>
      <c r="AH361" s="12">
        <f>IF(A361="","",IF(COUNTIF($A$2:$A$1000,A361)&gt;1,"Duplicate Job ID",IF(AND(AG361&lt;&gt;100,AG361&lt;&gt;0),"Weights must total 100",IF(Z361-Y361&lt;7,"Closing date must be 7+ days after opening","OK"))))</f>
        <v/>
      </c>
    </row>
    <row r="362">
      <c r="Y362" s="13" t="n"/>
      <c r="Z362" s="13" t="n"/>
      <c r="AF362" s="13" t="n"/>
      <c r="AG362" s="12">
        <f>IF(A362="","",SUMIFS('Assessment Weights'!$D:$D,'Assessment Weights'!$A:$A,A362))</f>
        <v/>
      </c>
      <c r="AH362" s="12">
        <f>IF(A362="","",IF(COUNTIF($A$2:$A$1000,A362)&gt;1,"Duplicate Job ID",IF(AND(AG362&lt;&gt;100,AG362&lt;&gt;0),"Weights must total 100",IF(Z362-Y362&lt;7,"Closing date must be 7+ days after opening","OK"))))</f>
        <v/>
      </c>
    </row>
    <row r="363">
      <c r="Y363" s="13" t="n"/>
      <c r="Z363" s="13" t="n"/>
      <c r="AF363" s="13" t="n"/>
      <c r="AG363" s="12">
        <f>IF(A363="","",SUMIFS('Assessment Weights'!$D:$D,'Assessment Weights'!$A:$A,A363))</f>
        <v/>
      </c>
      <c r="AH363" s="12">
        <f>IF(A363="","",IF(COUNTIF($A$2:$A$1000,A363)&gt;1,"Duplicate Job ID",IF(AND(AG363&lt;&gt;100,AG363&lt;&gt;0),"Weights must total 100",IF(Z363-Y363&lt;7,"Closing date must be 7+ days after opening","OK"))))</f>
        <v/>
      </c>
    </row>
    <row r="364">
      <c r="Y364" s="13" t="n"/>
      <c r="Z364" s="13" t="n"/>
      <c r="AF364" s="13" t="n"/>
      <c r="AG364" s="12">
        <f>IF(A364="","",SUMIFS('Assessment Weights'!$D:$D,'Assessment Weights'!$A:$A,A364))</f>
        <v/>
      </c>
      <c r="AH364" s="12">
        <f>IF(A364="","",IF(COUNTIF($A$2:$A$1000,A364)&gt;1,"Duplicate Job ID",IF(AND(AG364&lt;&gt;100,AG364&lt;&gt;0),"Weights must total 100",IF(Z364-Y364&lt;7,"Closing date must be 7+ days after opening","OK"))))</f>
        <v/>
      </c>
    </row>
    <row r="365">
      <c r="Y365" s="13" t="n"/>
      <c r="Z365" s="13" t="n"/>
      <c r="AF365" s="13" t="n"/>
      <c r="AG365" s="12">
        <f>IF(A365="","",SUMIFS('Assessment Weights'!$D:$D,'Assessment Weights'!$A:$A,A365))</f>
        <v/>
      </c>
      <c r="AH365" s="12">
        <f>IF(A365="","",IF(COUNTIF($A$2:$A$1000,A365)&gt;1,"Duplicate Job ID",IF(AND(AG365&lt;&gt;100,AG365&lt;&gt;0),"Weights must total 100",IF(Z365-Y365&lt;7,"Closing date must be 7+ days after opening","OK"))))</f>
        <v/>
      </c>
    </row>
    <row r="366">
      <c r="Y366" s="13" t="n"/>
      <c r="Z366" s="13" t="n"/>
      <c r="AF366" s="13" t="n"/>
      <c r="AG366" s="12">
        <f>IF(A366="","",SUMIFS('Assessment Weights'!$D:$D,'Assessment Weights'!$A:$A,A366))</f>
        <v/>
      </c>
      <c r="AH366" s="12">
        <f>IF(A366="","",IF(COUNTIF($A$2:$A$1000,A366)&gt;1,"Duplicate Job ID",IF(AND(AG366&lt;&gt;100,AG366&lt;&gt;0),"Weights must total 100",IF(Z366-Y366&lt;7,"Closing date must be 7+ days after opening","OK"))))</f>
        <v/>
      </c>
    </row>
    <row r="367">
      <c r="Y367" s="13" t="n"/>
      <c r="Z367" s="13" t="n"/>
      <c r="AF367" s="13" t="n"/>
      <c r="AG367" s="12">
        <f>IF(A367="","",SUMIFS('Assessment Weights'!$D:$D,'Assessment Weights'!$A:$A,A367))</f>
        <v/>
      </c>
      <c r="AH367" s="12">
        <f>IF(A367="","",IF(COUNTIF($A$2:$A$1000,A367)&gt;1,"Duplicate Job ID",IF(AND(AG367&lt;&gt;100,AG367&lt;&gt;0),"Weights must total 100",IF(Z367-Y367&lt;7,"Closing date must be 7+ days after opening","OK"))))</f>
        <v/>
      </c>
    </row>
    <row r="368">
      <c r="Y368" s="13" t="n"/>
      <c r="Z368" s="13" t="n"/>
      <c r="AF368" s="13" t="n"/>
      <c r="AG368" s="12">
        <f>IF(A368="","",SUMIFS('Assessment Weights'!$D:$D,'Assessment Weights'!$A:$A,A368))</f>
        <v/>
      </c>
      <c r="AH368" s="12">
        <f>IF(A368="","",IF(COUNTIF($A$2:$A$1000,A368)&gt;1,"Duplicate Job ID",IF(AND(AG368&lt;&gt;100,AG368&lt;&gt;0),"Weights must total 100",IF(Z368-Y368&lt;7,"Closing date must be 7+ days after opening","OK"))))</f>
        <v/>
      </c>
    </row>
    <row r="369">
      <c r="Y369" s="13" t="n"/>
      <c r="Z369" s="13" t="n"/>
      <c r="AF369" s="13" t="n"/>
      <c r="AG369" s="12">
        <f>IF(A369="","",SUMIFS('Assessment Weights'!$D:$D,'Assessment Weights'!$A:$A,A369))</f>
        <v/>
      </c>
      <c r="AH369" s="12">
        <f>IF(A369="","",IF(COUNTIF($A$2:$A$1000,A369)&gt;1,"Duplicate Job ID",IF(AND(AG369&lt;&gt;100,AG369&lt;&gt;0),"Weights must total 100",IF(Z369-Y369&lt;7,"Closing date must be 7+ days after opening","OK"))))</f>
        <v/>
      </c>
    </row>
    <row r="370">
      <c r="Y370" s="13" t="n"/>
      <c r="Z370" s="13" t="n"/>
      <c r="AF370" s="13" t="n"/>
      <c r="AG370" s="12">
        <f>IF(A370="","",SUMIFS('Assessment Weights'!$D:$D,'Assessment Weights'!$A:$A,A370))</f>
        <v/>
      </c>
      <c r="AH370" s="12">
        <f>IF(A370="","",IF(COUNTIF($A$2:$A$1000,A370)&gt;1,"Duplicate Job ID",IF(AND(AG370&lt;&gt;100,AG370&lt;&gt;0),"Weights must total 100",IF(Z370-Y370&lt;7,"Closing date must be 7+ days after opening","OK"))))</f>
        <v/>
      </c>
    </row>
    <row r="371">
      <c r="Y371" s="13" t="n"/>
      <c r="Z371" s="13" t="n"/>
      <c r="AF371" s="13" t="n"/>
      <c r="AG371" s="12">
        <f>IF(A371="","",SUMIFS('Assessment Weights'!$D:$D,'Assessment Weights'!$A:$A,A371))</f>
        <v/>
      </c>
      <c r="AH371" s="12">
        <f>IF(A371="","",IF(COUNTIF($A$2:$A$1000,A371)&gt;1,"Duplicate Job ID",IF(AND(AG371&lt;&gt;100,AG371&lt;&gt;0),"Weights must total 100",IF(Z371-Y371&lt;7,"Closing date must be 7+ days after opening","OK"))))</f>
        <v/>
      </c>
    </row>
    <row r="372">
      <c r="Y372" s="13" t="n"/>
      <c r="Z372" s="13" t="n"/>
      <c r="AF372" s="13" t="n"/>
      <c r="AG372" s="12">
        <f>IF(A372="","",SUMIFS('Assessment Weights'!$D:$D,'Assessment Weights'!$A:$A,A372))</f>
        <v/>
      </c>
      <c r="AH372" s="12">
        <f>IF(A372="","",IF(COUNTIF($A$2:$A$1000,A372)&gt;1,"Duplicate Job ID",IF(AND(AG372&lt;&gt;100,AG372&lt;&gt;0),"Weights must total 100",IF(Z372-Y372&lt;7,"Closing date must be 7+ days after opening","OK"))))</f>
        <v/>
      </c>
    </row>
    <row r="373">
      <c r="Y373" s="13" t="n"/>
      <c r="Z373" s="13" t="n"/>
      <c r="AF373" s="13" t="n"/>
      <c r="AG373" s="12">
        <f>IF(A373="","",SUMIFS('Assessment Weights'!$D:$D,'Assessment Weights'!$A:$A,A373))</f>
        <v/>
      </c>
      <c r="AH373" s="12">
        <f>IF(A373="","",IF(COUNTIF($A$2:$A$1000,A373)&gt;1,"Duplicate Job ID",IF(AND(AG373&lt;&gt;100,AG373&lt;&gt;0),"Weights must total 100",IF(Z373-Y373&lt;7,"Closing date must be 7+ days after opening","OK"))))</f>
        <v/>
      </c>
    </row>
    <row r="374">
      <c r="Y374" s="13" t="n"/>
      <c r="Z374" s="13" t="n"/>
      <c r="AF374" s="13" t="n"/>
      <c r="AG374" s="12">
        <f>IF(A374="","",SUMIFS('Assessment Weights'!$D:$D,'Assessment Weights'!$A:$A,A374))</f>
        <v/>
      </c>
      <c r="AH374" s="12">
        <f>IF(A374="","",IF(COUNTIF($A$2:$A$1000,A374)&gt;1,"Duplicate Job ID",IF(AND(AG374&lt;&gt;100,AG374&lt;&gt;0),"Weights must total 100",IF(Z374-Y374&lt;7,"Closing date must be 7+ days after opening","OK"))))</f>
        <v/>
      </c>
    </row>
    <row r="375">
      <c r="Y375" s="13" t="n"/>
      <c r="Z375" s="13" t="n"/>
      <c r="AF375" s="13" t="n"/>
      <c r="AG375" s="12">
        <f>IF(A375="","",SUMIFS('Assessment Weights'!$D:$D,'Assessment Weights'!$A:$A,A375))</f>
        <v/>
      </c>
      <c r="AH375" s="12">
        <f>IF(A375="","",IF(COUNTIF($A$2:$A$1000,A375)&gt;1,"Duplicate Job ID",IF(AND(AG375&lt;&gt;100,AG375&lt;&gt;0),"Weights must total 100",IF(Z375-Y375&lt;7,"Closing date must be 7+ days after opening","OK"))))</f>
        <v/>
      </c>
    </row>
    <row r="376">
      <c r="Y376" s="13" t="n"/>
      <c r="Z376" s="13" t="n"/>
      <c r="AF376" s="13" t="n"/>
      <c r="AG376" s="12">
        <f>IF(A376="","",SUMIFS('Assessment Weights'!$D:$D,'Assessment Weights'!$A:$A,A376))</f>
        <v/>
      </c>
      <c r="AH376" s="12">
        <f>IF(A376="","",IF(COUNTIF($A$2:$A$1000,A376)&gt;1,"Duplicate Job ID",IF(AND(AG376&lt;&gt;100,AG376&lt;&gt;0),"Weights must total 100",IF(Z376-Y376&lt;7,"Closing date must be 7+ days after opening","OK"))))</f>
        <v/>
      </c>
    </row>
    <row r="377">
      <c r="Y377" s="13" t="n"/>
      <c r="Z377" s="13" t="n"/>
      <c r="AF377" s="13" t="n"/>
      <c r="AG377" s="12">
        <f>IF(A377="","",SUMIFS('Assessment Weights'!$D:$D,'Assessment Weights'!$A:$A,A377))</f>
        <v/>
      </c>
      <c r="AH377" s="12">
        <f>IF(A377="","",IF(COUNTIF($A$2:$A$1000,A377)&gt;1,"Duplicate Job ID",IF(AND(AG377&lt;&gt;100,AG377&lt;&gt;0),"Weights must total 100",IF(Z377-Y377&lt;7,"Closing date must be 7+ days after opening","OK"))))</f>
        <v/>
      </c>
    </row>
    <row r="378">
      <c r="Y378" s="13" t="n"/>
      <c r="Z378" s="13" t="n"/>
      <c r="AF378" s="13" t="n"/>
      <c r="AG378" s="12">
        <f>IF(A378="","",SUMIFS('Assessment Weights'!$D:$D,'Assessment Weights'!$A:$A,A378))</f>
        <v/>
      </c>
      <c r="AH378" s="12">
        <f>IF(A378="","",IF(COUNTIF($A$2:$A$1000,A378)&gt;1,"Duplicate Job ID",IF(AND(AG378&lt;&gt;100,AG378&lt;&gt;0),"Weights must total 100",IF(Z378-Y378&lt;7,"Closing date must be 7+ days after opening","OK"))))</f>
        <v/>
      </c>
    </row>
    <row r="379">
      <c r="Y379" s="13" t="n"/>
      <c r="Z379" s="13" t="n"/>
      <c r="AF379" s="13" t="n"/>
      <c r="AG379" s="12">
        <f>IF(A379="","",SUMIFS('Assessment Weights'!$D:$D,'Assessment Weights'!$A:$A,A379))</f>
        <v/>
      </c>
      <c r="AH379" s="12">
        <f>IF(A379="","",IF(COUNTIF($A$2:$A$1000,A379)&gt;1,"Duplicate Job ID",IF(AND(AG379&lt;&gt;100,AG379&lt;&gt;0),"Weights must total 100",IF(Z379-Y379&lt;7,"Closing date must be 7+ days after opening","OK"))))</f>
        <v/>
      </c>
    </row>
    <row r="380">
      <c r="Y380" s="13" t="n"/>
      <c r="Z380" s="13" t="n"/>
      <c r="AF380" s="13" t="n"/>
      <c r="AG380" s="12">
        <f>IF(A380="","",SUMIFS('Assessment Weights'!$D:$D,'Assessment Weights'!$A:$A,A380))</f>
        <v/>
      </c>
      <c r="AH380" s="12">
        <f>IF(A380="","",IF(COUNTIF($A$2:$A$1000,A380)&gt;1,"Duplicate Job ID",IF(AND(AG380&lt;&gt;100,AG380&lt;&gt;0),"Weights must total 100",IF(Z380-Y380&lt;7,"Closing date must be 7+ days after opening","OK"))))</f>
        <v/>
      </c>
    </row>
    <row r="381">
      <c r="Y381" s="13" t="n"/>
      <c r="Z381" s="13" t="n"/>
      <c r="AF381" s="13" t="n"/>
      <c r="AG381" s="12">
        <f>IF(A381="","",SUMIFS('Assessment Weights'!$D:$D,'Assessment Weights'!$A:$A,A381))</f>
        <v/>
      </c>
      <c r="AH381" s="12">
        <f>IF(A381="","",IF(COUNTIF($A$2:$A$1000,A381)&gt;1,"Duplicate Job ID",IF(AND(AG381&lt;&gt;100,AG381&lt;&gt;0),"Weights must total 100",IF(Z381-Y381&lt;7,"Closing date must be 7+ days after opening","OK"))))</f>
        <v/>
      </c>
    </row>
    <row r="382">
      <c r="Y382" s="13" t="n"/>
      <c r="Z382" s="13" t="n"/>
      <c r="AF382" s="13" t="n"/>
      <c r="AG382" s="12">
        <f>IF(A382="","",SUMIFS('Assessment Weights'!$D:$D,'Assessment Weights'!$A:$A,A382))</f>
        <v/>
      </c>
      <c r="AH382" s="12">
        <f>IF(A382="","",IF(COUNTIF($A$2:$A$1000,A382)&gt;1,"Duplicate Job ID",IF(AND(AG382&lt;&gt;100,AG382&lt;&gt;0),"Weights must total 100",IF(Z382-Y382&lt;7,"Closing date must be 7+ days after opening","OK"))))</f>
        <v/>
      </c>
    </row>
    <row r="383">
      <c r="Y383" s="13" t="n"/>
      <c r="Z383" s="13" t="n"/>
      <c r="AF383" s="13" t="n"/>
      <c r="AG383" s="12">
        <f>IF(A383="","",SUMIFS('Assessment Weights'!$D:$D,'Assessment Weights'!$A:$A,A383))</f>
        <v/>
      </c>
      <c r="AH383" s="12">
        <f>IF(A383="","",IF(COUNTIF($A$2:$A$1000,A383)&gt;1,"Duplicate Job ID",IF(AND(AG383&lt;&gt;100,AG383&lt;&gt;0),"Weights must total 100",IF(Z383-Y383&lt;7,"Closing date must be 7+ days after opening","OK"))))</f>
        <v/>
      </c>
    </row>
    <row r="384">
      <c r="Y384" s="13" t="n"/>
      <c r="Z384" s="13" t="n"/>
      <c r="AF384" s="13" t="n"/>
      <c r="AG384" s="12">
        <f>IF(A384="","",SUMIFS('Assessment Weights'!$D:$D,'Assessment Weights'!$A:$A,A384))</f>
        <v/>
      </c>
      <c r="AH384" s="12">
        <f>IF(A384="","",IF(COUNTIF($A$2:$A$1000,A384)&gt;1,"Duplicate Job ID",IF(AND(AG384&lt;&gt;100,AG384&lt;&gt;0),"Weights must total 100",IF(Z384-Y384&lt;7,"Closing date must be 7+ days after opening","OK"))))</f>
        <v/>
      </c>
    </row>
    <row r="385">
      <c r="Y385" s="13" t="n"/>
      <c r="Z385" s="13" t="n"/>
      <c r="AF385" s="13" t="n"/>
      <c r="AG385" s="12">
        <f>IF(A385="","",SUMIFS('Assessment Weights'!$D:$D,'Assessment Weights'!$A:$A,A385))</f>
        <v/>
      </c>
      <c r="AH385" s="12">
        <f>IF(A385="","",IF(COUNTIF($A$2:$A$1000,A385)&gt;1,"Duplicate Job ID",IF(AND(AG385&lt;&gt;100,AG385&lt;&gt;0),"Weights must total 100",IF(Z385-Y385&lt;7,"Closing date must be 7+ days after opening","OK"))))</f>
        <v/>
      </c>
    </row>
    <row r="386">
      <c r="Y386" s="13" t="n"/>
      <c r="Z386" s="13" t="n"/>
      <c r="AF386" s="13" t="n"/>
      <c r="AG386" s="12">
        <f>IF(A386="","",SUMIFS('Assessment Weights'!$D:$D,'Assessment Weights'!$A:$A,A386))</f>
        <v/>
      </c>
      <c r="AH386" s="12">
        <f>IF(A386="","",IF(COUNTIF($A$2:$A$1000,A386)&gt;1,"Duplicate Job ID",IF(AND(AG386&lt;&gt;100,AG386&lt;&gt;0),"Weights must total 100",IF(Z386-Y386&lt;7,"Closing date must be 7+ days after opening","OK"))))</f>
        <v/>
      </c>
    </row>
    <row r="387">
      <c r="Y387" s="13" t="n"/>
      <c r="Z387" s="13" t="n"/>
      <c r="AF387" s="13" t="n"/>
      <c r="AG387" s="12">
        <f>IF(A387="","",SUMIFS('Assessment Weights'!$D:$D,'Assessment Weights'!$A:$A,A387))</f>
        <v/>
      </c>
      <c r="AH387" s="12">
        <f>IF(A387="","",IF(COUNTIF($A$2:$A$1000,A387)&gt;1,"Duplicate Job ID",IF(AND(AG387&lt;&gt;100,AG387&lt;&gt;0),"Weights must total 100",IF(Z387-Y387&lt;7,"Closing date must be 7+ days after opening","OK"))))</f>
        <v/>
      </c>
    </row>
    <row r="388">
      <c r="Y388" s="13" t="n"/>
      <c r="Z388" s="13" t="n"/>
      <c r="AF388" s="13" t="n"/>
      <c r="AG388" s="12">
        <f>IF(A388="","",SUMIFS('Assessment Weights'!$D:$D,'Assessment Weights'!$A:$A,A388))</f>
        <v/>
      </c>
      <c r="AH388" s="12">
        <f>IF(A388="","",IF(COUNTIF($A$2:$A$1000,A388)&gt;1,"Duplicate Job ID",IF(AND(AG388&lt;&gt;100,AG388&lt;&gt;0),"Weights must total 100",IF(Z388-Y388&lt;7,"Closing date must be 7+ days after opening","OK"))))</f>
        <v/>
      </c>
    </row>
    <row r="389">
      <c r="Y389" s="13" t="n"/>
      <c r="Z389" s="13" t="n"/>
      <c r="AF389" s="13" t="n"/>
      <c r="AG389" s="12">
        <f>IF(A389="","",SUMIFS('Assessment Weights'!$D:$D,'Assessment Weights'!$A:$A,A389))</f>
        <v/>
      </c>
      <c r="AH389" s="12">
        <f>IF(A389="","",IF(COUNTIF($A$2:$A$1000,A389)&gt;1,"Duplicate Job ID",IF(AND(AG389&lt;&gt;100,AG389&lt;&gt;0),"Weights must total 100",IF(Z389-Y389&lt;7,"Closing date must be 7+ days after opening","OK"))))</f>
        <v/>
      </c>
    </row>
    <row r="390">
      <c r="Y390" s="13" t="n"/>
      <c r="Z390" s="13" t="n"/>
      <c r="AF390" s="13" t="n"/>
      <c r="AG390" s="12">
        <f>IF(A390="","",SUMIFS('Assessment Weights'!$D:$D,'Assessment Weights'!$A:$A,A390))</f>
        <v/>
      </c>
      <c r="AH390" s="12">
        <f>IF(A390="","",IF(COUNTIF($A$2:$A$1000,A390)&gt;1,"Duplicate Job ID",IF(AND(AG390&lt;&gt;100,AG390&lt;&gt;0),"Weights must total 100",IF(Z390-Y390&lt;7,"Closing date must be 7+ days after opening","OK"))))</f>
        <v/>
      </c>
    </row>
    <row r="391">
      <c r="Y391" s="13" t="n"/>
      <c r="Z391" s="13" t="n"/>
      <c r="AF391" s="13" t="n"/>
      <c r="AG391" s="12">
        <f>IF(A391="","",SUMIFS('Assessment Weights'!$D:$D,'Assessment Weights'!$A:$A,A391))</f>
        <v/>
      </c>
      <c r="AH391" s="12">
        <f>IF(A391="","",IF(COUNTIF($A$2:$A$1000,A391)&gt;1,"Duplicate Job ID",IF(AND(AG391&lt;&gt;100,AG391&lt;&gt;0),"Weights must total 100",IF(Z391-Y391&lt;7,"Closing date must be 7+ days after opening","OK"))))</f>
        <v/>
      </c>
    </row>
    <row r="392">
      <c r="Y392" s="13" t="n"/>
      <c r="Z392" s="13" t="n"/>
      <c r="AF392" s="13" t="n"/>
      <c r="AG392" s="12">
        <f>IF(A392="","",SUMIFS('Assessment Weights'!$D:$D,'Assessment Weights'!$A:$A,A392))</f>
        <v/>
      </c>
      <c r="AH392" s="12">
        <f>IF(A392="","",IF(COUNTIF($A$2:$A$1000,A392)&gt;1,"Duplicate Job ID",IF(AND(AG392&lt;&gt;100,AG392&lt;&gt;0),"Weights must total 100",IF(Z392-Y392&lt;7,"Closing date must be 7+ days after opening","OK"))))</f>
        <v/>
      </c>
    </row>
    <row r="393">
      <c r="Y393" s="13" t="n"/>
      <c r="Z393" s="13" t="n"/>
      <c r="AF393" s="13" t="n"/>
      <c r="AG393" s="12">
        <f>IF(A393="","",SUMIFS('Assessment Weights'!$D:$D,'Assessment Weights'!$A:$A,A393))</f>
        <v/>
      </c>
      <c r="AH393" s="12">
        <f>IF(A393="","",IF(COUNTIF($A$2:$A$1000,A393)&gt;1,"Duplicate Job ID",IF(AND(AG393&lt;&gt;100,AG393&lt;&gt;0),"Weights must total 100",IF(Z393-Y393&lt;7,"Closing date must be 7+ days after opening","OK"))))</f>
        <v/>
      </c>
    </row>
    <row r="394">
      <c r="Y394" s="13" t="n"/>
      <c r="Z394" s="13" t="n"/>
      <c r="AF394" s="13" t="n"/>
      <c r="AG394" s="12">
        <f>IF(A394="","",SUMIFS('Assessment Weights'!$D:$D,'Assessment Weights'!$A:$A,A394))</f>
        <v/>
      </c>
      <c r="AH394" s="12">
        <f>IF(A394="","",IF(COUNTIF($A$2:$A$1000,A394)&gt;1,"Duplicate Job ID",IF(AND(AG394&lt;&gt;100,AG394&lt;&gt;0),"Weights must total 100",IF(Z394-Y394&lt;7,"Closing date must be 7+ days after opening","OK"))))</f>
        <v/>
      </c>
    </row>
    <row r="395">
      <c r="Y395" s="13" t="n"/>
      <c r="Z395" s="13" t="n"/>
      <c r="AF395" s="13" t="n"/>
      <c r="AG395" s="12">
        <f>IF(A395="","",SUMIFS('Assessment Weights'!$D:$D,'Assessment Weights'!$A:$A,A395))</f>
        <v/>
      </c>
      <c r="AH395" s="12">
        <f>IF(A395="","",IF(COUNTIF($A$2:$A$1000,A395)&gt;1,"Duplicate Job ID",IF(AND(AG395&lt;&gt;100,AG395&lt;&gt;0),"Weights must total 100",IF(Z395-Y395&lt;7,"Closing date must be 7+ days after opening","OK"))))</f>
        <v/>
      </c>
    </row>
    <row r="396">
      <c r="Y396" s="13" t="n"/>
      <c r="Z396" s="13" t="n"/>
      <c r="AF396" s="13" t="n"/>
      <c r="AG396" s="12">
        <f>IF(A396="","",SUMIFS('Assessment Weights'!$D:$D,'Assessment Weights'!$A:$A,A396))</f>
        <v/>
      </c>
      <c r="AH396" s="12">
        <f>IF(A396="","",IF(COUNTIF($A$2:$A$1000,A396)&gt;1,"Duplicate Job ID",IF(AND(AG396&lt;&gt;100,AG396&lt;&gt;0),"Weights must total 100",IF(Z396-Y396&lt;7,"Closing date must be 7+ days after opening","OK"))))</f>
        <v/>
      </c>
    </row>
    <row r="397">
      <c r="Y397" s="13" t="n"/>
      <c r="Z397" s="13" t="n"/>
      <c r="AF397" s="13" t="n"/>
      <c r="AG397" s="12">
        <f>IF(A397="","",SUMIFS('Assessment Weights'!$D:$D,'Assessment Weights'!$A:$A,A397))</f>
        <v/>
      </c>
      <c r="AH397" s="12">
        <f>IF(A397="","",IF(COUNTIF($A$2:$A$1000,A397)&gt;1,"Duplicate Job ID",IF(AND(AG397&lt;&gt;100,AG397&lt;&gt;0),"Weights must total 100",IF(Z397-Y397&lt;7,"Closing date must be 7+ days after opening","OK"))))</f>
        <v/>
      </c>
    </row>
    <row r="398">
      <c r="Y398" s="13" t="n"/>
      <c r="Z398" s="13" t="n"/>
      <c r="AF398" s="13" t="n"/>
      <c r="AG398" s="12">
        <f>IF(A398="","",SUMIFS('Assessment Weights'!$D:$D,'Assessment Weights'!$A:$A,A398))</f>
        <v/>
      </c>
      <c r="AH398" s="12">
        <f>IF(A398="","",IF(COUNTIF($A$2:$A$1000,A398)&gt;1,"Duplicate Job ID",IF(AND(AG398&lt;&gt;100,AG398&lt;&gt;0),"Weights must total 100",IF(Z398-Y398&lt;7,"Closing date must be 7+ days after opening","OK"))))</f>
        <v/>
      </c>
    </row>
    <row r="399">
      <c r="Y399" s="13" t="n"/>
      <c r="Z399" s="13" t="n"/>
      <c r="AF399" s="13" t="n"/>
      <c r="AG399" s="12">
        <f>IF(A399="","",SUMIFS('Assessment Weights'!$D:$D,'Assessment Weights'!$A:$A,A399))</f>
        <v/>
      </c>
      <c r="AH399" s="12">
        <f>IF(A399="","",IF(COUNTIF($A$2:$A$1000,A399)&gt;1,"Duplicate Job ID",IF(AND(AG399&lt;&gt;100,AG399&lt;&gt;0),"Weights must total 100",IF(Z399-Y399&lt;7,"Closing date must be 7+ days after opening","OK"))))</f>
        <v/>
      </c>
    </row>
    <row r="400">
      <c r="Y400" s="13" t="n"/>
      <c r="Z400" s="13" t="n"/>
      <c r="AF400" s="13" t="n"/>
      <c r="AG400" s="12">
        <f>IF(A400="","",SUMIFS('Assessment Weights'!$D:$D,'Assessment Weights'!$A:$A,A400))</f>
        <v/>
      </c>
      <c r="AH400" s="12">
        <f>IF(A400="","",IF(COUNTIF($A$2:$A$1000,A400)&gt;1,"Duplicate Job ID",IF(AND(AG400&lt;&gt;100,AG400&lt;&gt;0),"Weights must total 100",IF(Z400-Y400&lt;7,"Closing date must be 7+ days after opening","OK"))))</f>
        <v/>
      </c>
    </row>
    <row r="401">
      <c r="Y401" s="13" t="n"/>
      <c r="Z401" s="13" t="n"/>
      <c r="AF401" s="13" t="n"/>
      <c r="AG401" s="12">
        <f>IF(A401="","",SUMIFS('Assessment Weights'!$D:$D,'Assessment Weights'!$A:$A,A401))</f>
        <v/>
      </c>
      <c r="AH401" s="12">
        <f>IF(A401="","",IF(COUNTIF($A$2:$A$1000,A401)&gt;1,"Duplicate Job ID",IF(AND(AG401&lt;&gt;100,AG401&lt;&gt;0),"Weights must total 100",IF(Z401-Y401&lt;7,"Closing date must be 7+ days after opening","OK"))))</f>
        <v/>
      </c>
    </row>
    <row r="402">
      <c r="Y402" s="13" t="n"/>
      <c r="Z402" s="13" t="n"/>
      <c r="AF402" s="13" t="n"/>
      <c r="AG402" s="12">
        <f>IF(A402="","",SUMIFS('Assessment Weights'!$D:$D,'Assessment Weights'!$A:$A,A402))</f>
        <v/>
      </c>
      <c r="AH402" s="12">
        <f>IF(A402="","",IF(COUNTIF($A$2:$A$1000,A402)&gt;1,"Duplicate Job ID",IF(AND(AG402&lt;&gt;100,AG402&lt;&gt;0),"Weights must total 100",IF(Z402-Y402&lt;7,"Closing date must be 7+ days after opening","OK"))))</f>
        <v/>
      </c>
    </row>
    <row r="403">
      <c r="Y403" s="13" t="n"/>
      <c r="Z403" s="13" t="n"/>
      <c r="AF403" s="13" t="n"/>
      <c r="AG403" s="12">
        <f>IF(A403="","",SUMIFS('Assessment Weights'!$D:$D,'Assessment Weights'!$A:$A,A403))</f>
        <v/>
      </c>
      <c r="AH403" s="12">
        <f>IF(A403="","",IF(COUNTIF($A$2:$A$1000,A403)&gt;1,"Duplicate Job ID",IF(AND(AG403&lt;&gt;100,AG403&lt;&gt;0),"Weights must total 100",IF(Z403-Y403&lt;7,"Closing date must be 7+ days after opening","OK"))))</f>
        <v/>
      </c>
    </row>
    <row r="404">
      <c r="Y404" s="13" t="n"/>
      <c r="Z404" s="13" t="n"/>
      <c r="AF404" s="13" t="n"/>
      <c r="AG404" s="12">
        <f>IF(A404="","",SUMIFS('Assessment Weights'!$D:$D,'Assessment Weights'!$A:$A,A404))</f>
        <v/>
      </c>
      <c r="AH404" s="12">
        <f>IF(A404="","",IF(COUNTIF($A$2:$A$1000,A404)&gt;1,"Duplicate Job ID",IF(AND(AG404&lt;&gt;100,AG404&lt;&gt;0),"Weights must total 100",IF(Z404-Y404&lt;7,"Closing date must be 7+ days after opening","OK"))))</f>
        <v/>
      </c>
    </row>
    <row r="405">
      <c r="Y405" s="13" t="n"/>
      <c r="Z405" s="13" t="n"/>
      <c r="AF405" s="13" t="n"/>
      <c r="AG405" s="12">
        <f>IF(A405="","",SUMIFS('Assessment Weights'!$D:$D,'Assessment Weights'!$A:$A,A405))</f>
        <v/>
      </c>
      <c r="AH405" s="12">
        <f>IF(A405="","",IF(COUNTIF($A$2:$A$1000,A405)&gt;1,"Duplicate Job ID",IF(AND(AG405&lt;&gt;100,AG405&lt;&gt;0),"Weights must total 100",IF(Z405-Y405&lt;7,"Closing date must be 7+ days after opening","OK"))))</f>
        <v/>
      </c>
    </row>
    <row r="406">
      <c r="Y406" s="13" t="n"/>
      <c r="Z406" s="13" t="n"/>
      <c r="AF406" s="13" t="n"/>
      <c r="AG406" s="12">
        <f>IF(A406="","",SUMIFS('Assessment Weights'!$D:$D,'Assessment Weights'!$A:$A,A406))</f>
        <v/>
      </c>
      <c r="AH406" s="12">
        <f>IF(A406="","",IF(COUNTIF($A$2:$A$1000,A406)&gt;1,"Duplicate Job ID",IF(AND(AG406&lt;&gt;100,AG406&lt;&gt;0),"Weights must total 100",IF(Z406-Y406&lt;7,"Closing date must be 7+ days after opening","OK"))))</f>
        <v/>
      </c>
    </row>
    <row r="407">
      <c r="Y407" s="13" t="n"/>
      <c r="Z407" s="13" t="n"/>
      <c r="AF407" s="13" t="n"/>
      <c r="AG407" s="12">
        <f>IF(A407="","",SUMIFS('Assessment Weights'!$D:$D,'Assessment Weights'!$A:$A,A407))</f>
        <v/>
      </c>
      <c r="AH407" s="12">
        <f>IF(A407="","",IF(COUNTIF($A$2:$A$1000,A407)&gt;1,"Duplicate Job ID",IF(AND(AG407&lt;&gt;100,AG407&lt;&gt;0),"Weights must total 100",IF(Z407-Y407&lt;7,"Closing date must be 7+ days after opening","OK"))))</f>
        <v/>
      </c>
    </row>
    <row r="408">
      <c r="Y408" s="13" t="n"/>
      <c r="Z408" s="13" t="n"/>
      <c r="AF408" s="13" t="n"/>
      <c r="AG408" s="12">
        <f>IF(A408="","",SUMIFS('Assessment Weights'!$D:$D,'Assessment Weights'!$A:$A,A408))</f>
        <v/>
      </c>
      <c r="AH408" s="12">
        <f>IF(A408="","",IF(COUNTIF($A$2:$A$1000,A408)&gt;1,"Duplicate Job ID",IF(AND(AG408&lt;&gt;100,AG408&lt;&gt;0),"Weights must total 100",IF(Z408-Y408&lt;7,"Closing date must be 7+ days after opening","OK"))))</f>
        <v/>
      </c>
    </row>
    <row r="409">
      <c r="Y409" s="13" t="n"/>
      <c r="Z409" s="13" t="n"/>
      <c r="AF409" s="13" t="n"/>
      <c r="AG409" s="12">
        <f>IF(A409="","",SUMIFS('Assessment Weights'!$D:$D,'Assessment Weights'!$A:$A,A409))</f>
        <v/>
      </c>
      <c r="AH409" s="12">
        <f>IF(A409="","",IF(COUNTIF($A$2:$A$1000,A409)&gt;1,"Duplicate Job ID",IF(AND(AG409&lt;&gt;100,AG409&lt;&gt;0),"Weights must total 100",IF(Z409-Y409&lt;7,"Closing date must be 7+ days after opening","OK"))))</f>
        <v/>
      </c>
    </row>
    <row r="410">
      <c r="Y410" s="13" t="n"/>
      <c r="Z410" s="13" t="n"/>
      <c r="AF410" s="13" t="n"/>
      <c r="AG410" s="12">
        <f>IF(A410="","",SUMIFS('Assessment Weights'!$D:$D,'Assessment Weights'!$A:$A,A410))</f>
        <v/>
      </c>
      <c r="AH410" s="12">
        <f>IF(A410="","",IF(COUNTIF($A$2:$A$1000,A410)&gt;1,"Duplicate Job ID",IF(AND(AG410&lt;&gt;100,AG410&lt;&gt;0),"Weights must total 100",IF(Z410-Y410&lt;7,"Closing date must be 7+ days after opening","OK"))))</f>
        <v/>
      </c>
    </row>
    <row r="411">
      <c r="Y411" s="13" t="n"/>
      <c r="Z411" s="13" t="n"/>
      <c r="AF411" s="13" t="n"/>
      <c r="AG411" s="12">
        <f>IF(A411="","",SUMIFS('Assessment Weights'!$D:$D,'Assessment Weights'!$A:$A,A411))</f>
        <v/>
      </c>
      <c r="AH411" s="12">
        <f>IF(A411="","",IF(COUNTIF($A$2:$A$1000,A411)&gt;1,"Duplicate Job ID",IF(AND(AG411&lt;&gt;100,AG411&lt;&gt;0),"Weights must total 100",IF(Z411-Y411&lt;7,"Closing date must be 7+ days after opening","OK"))))</f>
        <v/>
      </c>
    </row>
    <row r="412">
      <c r="Y412" s="13" t="n"/>
      <c r="Z412" s="13" t="n"/>
      <c r="AF412" s="13" t="n"/>
      <c r="AG412" s="12">
        <f>IF(A412="","",SUMIFS('Assessment Weights'!$D:$D,'Assessment Weights'!$A:$A,A412))</f>
        <v/>
      </c>
      <c r="AH412" s="12">
        <f>IF(A412="","",IF(COUNTIF($A$2:$A$1000,A412)&gt;1,"Duplicate Job ID",IF(AND(AG412&lt;&gt;100,AG412&lt;&gt;0),"Weights must total 100",IF(Z412-Y412&lt;7,"Closing date must be 7+ days after opening","OK"))))</f>
        <v/>
      </c>
    </row>
    <row r="413">
      <c r="Y413" s="13" t="n"/>
      <c r="Z413" s="13" t="n"/>
      <c r="AF413" s="13" t="n"/>
      <c r="AG413" s="12">
        <f>IF(A413="","",SUMIFS('Assessment Weights'!$D:$D,'Assessment Weights'!$A:$A,A413))</f>
        <v/>
      </c>
      <c r="AH413" s="12">
        <f>IF(A413="","",IF(COUNTIF($A$2:$A$1000,A413)&gt;1,"Duplicate Job ID",IF(AND(AG413&lt;&gt;100,AG413&lt;&gt;0),"Weights must total 100",IF(Z413-Y413&lt;7,"Closing date must be 7+ days after opening","OK"))))</f>
        <v/>
      </c>
    </row>
    <row r="414">
      <c r="Y414" s="13" t="n"/>
      <c r="Z414" s="13" t="n"/>
      <c r="AF414" s="13" t="n"/>
      <c r="AG414" s="12">
        <f>IF(A414="","",SUMIFS('Assessment Weights'!$D:$D,'Assessment Weights'!$A:$A,A414))</f>
        <v/>
      </c>
      <c r="AH414" s="12">
        <f>IF(A414="","",IF(COUNTIF($A$2:$A$1000,A414)&gt;1,"Duplicate Job ID",IF(AND(AG414&lt;&gt;100,AG414&lt;&gt;0),"Weights must total 100",IF(Z414-Y414&lt;7,"Closing date must be 7+ days after opening","OK"))))</f>
        <v/>
      </c>
    </row>
    <row r="415">
      <c r="Y415" s="13" t="n"/>
      <c r="Z415" s="13" t="n"/>
      <c r="AF415" s="13" t="n"/>
      <c r="AG415" s="12">
        <f>IF(A415="","",SUMIFS('Assessment Weights'!$D:$D,'Assessment Weights'!$A:$A,A415))</f>
        <v/>
      </c>
      <c r="AH415" s="12">
        <f>IF(A415="","",IF(COUNTIF($A$2:$A$1000,A415)&gt;1,"Duplicate Job ID",IF(AND(AG415&lt;&gt;100,AG415&lt;&gt;0),"Weights must total 100",IF(Z415-Y415&lt;7,"Closing date must be 7+ days after opening","OK"))))</f>
        <v/>
      </c>
    </row>
    <row r="416">
      <c r="Y416" s="13" t="n"/>
      <c r="Z416" s="13" t="n"/>
      <c r="AF416" s="13" t="n"/>
      <c r="AG416" s="12">
        <f>IF(A416="","",SUMIFS('Assessment Weights'!$D:$D,'Assessment Weights'!$A:$A,A416))</f>
        <v/>
      </c>
      <c r="AH416" s="12">
        <f>IF(A416="","",IF(COUNTIF($A$2:$A$1000,A416)&gt;1,"Duplicate Job ID",IF(AND(AG416&lt;&gt;100,AG416&lt;&gt;0),"Weights must total 100",IF(Z416-Y416&lt;7,"Closing date must be 7+ days after opening","OK"))))</f>
        <v/>
      </c>
    </row>
    <row r="417">
      <c r="Y417" s="13" t="n"/>
      <c r="Z417" s="13" t="n"/>
      <c r="AF417" s="13" t="n"/>
      <c r="AG417" s="12">
        <f>IF(A417="","",SUMIFS('Assessment Weights'!$D:$D,'Assessment Weights'!$A:$A,A417))</f>
        <v/>
      </c>
      <c r="AH417" s="12">
        <f>IF(A417="","",IF(COUNTIF($A$2:$A$1000,A417)&gt;1,"Duplicate Job ID",IF(AND(AG417&lt;&gt;100,AG417&lt;&gt;0),"Weights must total 100",IF(Z417-Y417&lt;7,"Closing date must be 7+ days after opening","OK"))))</f>
        <v/>
      </c>
    </row>
    <row r="418">
      <c r="Y418" s="13" t="n"/>
      <c r="Z418" s="13" t="n"/>
      <c r="AF418" s="13" t="n"/>
      <c r="AG418" s="12">
        <f>IF(A418="","",SUMIFS('Assessment Weights'!$D:$D,'Assessment Weights'!$A:$A,A418))</f>
        <v/>
      </c>
      <c r="AH418" s="12">
        <f>IF(A418="","",IF(COUNTIF($A$2:$A$1000,A418)&gt;1,"Duplicate Job ID",IF(AND(AG418&lt;&gt;100,AG418&lt;&gt;0),"Weights must total 100",IF(Z418-Y418&lt;7,"Closing date must be 7+ days after opening","OK"))))</f>
        <v/>
      </c>
    </row>
    <row r="419">
      <c r="Y419" s="13" t="n"/>
      <c r="Z419" s="13" t="n"/>
      <c r="AF419" s="13" t="n"/>
      <c r="AG419" s="12">
        <f>IF(A419="","",SUMIFS('Assessment Weights'!$D:$D,'Assessment Weights'!$A:$A,A419))</f>
        <v/>
      </c>
      <c r="AH419" s="12">
        <f>IF(A419="","",IF(COUNTIF($A$2:$A$1000,A419)&gt;1,"Duplicate Job ID",IF(AND(AG419&lt;&gt;100,AG419&lt;&gt;0),"Weights must total 100",IF(Z419-Y419&lt;7,"Closing date must be 7+ days after opening","OK"))))</f>
        <v/>
      </c>
    </row>
    <row r="420">
      <c r="Y420" s="13" t="n"/>
      <c r="Z420" s="13" t="n"/>
      <c r="AF420" s="13" t="n"/>
      <c r="AG420" s="12">
        <f>IF(A420="","",SUMIFS('Assessment Weights'!$D:$D,'Assessment Weights'!$A:$A,A420))</f>
        <v/>
      </c>
      <c r="AH420" s="12">
        <f>IF(A420="","",IF(COUNTIF($A$2:$A$1000,A420)&gt;1,"Duplicate Job ID",IF(AND(AG420&lt;&gt;100,AG420&lt;&gt;0),"Weights must total 100",IF(Z420-Y420&lt;7,"Closing date must be 7+ days after opening","OK"))))</f>
        <v/>
      </c>
    </row>
    <row r="421">
      <c r="Y421" s="13" t="n"/>
      <c r="Z421" s="13" t="n"/>
      <c r="AF421" s="13" t="n"/>
      <c r="AG421" s="12">
        <f>IF(A421="","",SUMIFS('Assessment Weights'!$D:$D,'Assessment Weights'!$A:$A,A421))</f>
        <v/>
      </c>
      <c r="AH421" s="12">
        <f>IF(A421="","",IF(COUNTIF($A$2:$A$1000,A421)&gt;1,"Duplicate Job ID",IF(AND(AG421&lt;&gt;100,AG421&lt;&gt;0),"Weights must total 100",IF(Z421-Y421&lt;7,"Closing date must be 7+ days after opening","OK"))))</f>
        <v/>
      </c>
    </row>
    <row r="422">
      <c r="Y422" s="13" t="n"/>
      <c r="Z422" s="13" t="n"/>
      <c r="AF422" s="13" t="n"/>
      <c r="AG422" s="12">
        <f>IF(A422="","",SUMIFS('Assessment Weights'!$D:$D,'Assessment Weights'!$A:$A,A422))</f>
        <v/>
      </c>
      <c r="AH422" s="12">
        <f>IF(A422="","",IF(COUNTIF($A$2:$A$1000,A422)&gt;1,"Duplicate Job ID",IF(AND(AG422&lt;&gt;100,AG422&lt;&gt;0),"Weights must total 100",IF(Z422-Y422&lt;7,"Closing date must be 7+ days after opening","OK"))))</f>
        <v/>
      </c>
    </row>
    <row r="423">
      <c r="Y423" s="13" t="n"/>
      <c r="Z423" s="13" t="n"/>
      <c r="AF423" s="13" t="n"/>
      <c r="AG423" s="12">
        <f>IF(A423="","",SUMIFS('Assessment Weights'!$D:$D,'Assessment Weights'!$A:$A,A423))</f>
        <v/>
      </c>
      <c r="AH423" s="12">
        <f>IF(A423="","",IF(COUNTIF($A$2:$A$1000,A423)&gt;1,"Duplicate Job ID",IF(AND(AG423&lt;&gt;100,AG423&lt;&gt;0),"Weights must total 100",IF(Z423-Y423&lt;7,"Closing date must be 7+ days after opening","OK"))))</f>
        <v/>
      </c>
    </row>
    <row r="424">
      <c r="Y424" s="13" t="n"/>
      <c r="Z424" s="13" t="n"/>
      <c r="AF424" s="13" t="n"/>
      <c r="AG424" s="12">
        <f>IF(A424="","",SUMIFS('Assessment Weights'!$D:$D,'Assessment Weights'!$A:$A,A424))</f>
        <v/>
      </c>
      <c r="AH424" s="12">
        <f>IF(A424="","",IF(COUNTIF($A$2:$A$1000,A424)&gt;1,"Duplicate Job ID",IF(AND(AG424&lt;&gt;100,AG424&lt;&gt;0),"Weights must total 100",IF(Z424-Y424&lt;7,"Closing date must be 7+ days after opening","OK"))))</f>
        <v/>
      </c>
    </row>
    <row r="425">
      <c r="Y425" s="13" t="n"/>
      <c r="Z425" s="13" t="n"/>
      <c r="AF425" s="13" t="n"/>
      <c r="AG425" s="12">
        <f>IF(A425="","",SUMIFS('Assessment Weights'!$D:$D,'Assessment Weights'!$A:$A,A425))</f>
        <v/>
      </c>
      <c r="AH425" s="12">
        <f>IF(A425="","",IF(COUNTIF($A$2:$A$1000,A425)&gt;1,"Duplicate Job ID",IF(AND(AG425&lt;&gt;100,AG425&lt;&gt;0),"Weights must total 100",IF(Z425-Y425&lt;7,"Closing date must be 7+ days after opening","OK"))))</f>
        <v/>
      </c>
    </row>
    <row r="426">
      <c r="Y426" s="13" t="n"/>
      <c r="Z426" s="13" t="n"/>
      <c r="AF426" s="13" t="n"/>
      <c r="AG426" s="12">
        <f>IF(A426="","",SUMIFS('Assessment Weights'!$D:$D,'Assessment Weights'!$A:$A,A426))</f>
        <v/>
      </c>
      <c r="AH426" s="12">
        <f>IF(A426="","",IF(COUNTIF($A$2:$A$1000,A426)&gt;1,"Duplicate Job ID",IF(AND(AG426&lt;&gt;100,AG426&lt;&gt;0),"Weights must total 100",IF(Z426-Y426&lt;7,"Closing date must be 7+ days after opening","OK"))))</f>
        <v/>
      </c>
    </row>
    <row r="427">
      <c r="Y427" s="13" t="n"/>
      <c r="Z427" s="13" t="n"/>
      <c r="AF427" s="13" t="n"/>
      <c r="AG427" s="12">
        <f>IF(A427="","",SUMIFS('Assessment Weights'!$D:$D,'Assessment Weights'!$A:$A,A427))</f>
        <v/>
      </c>
      <c r="AH427" s="12">
        <f>IF(A427="","",IF(COUNTIF($A$2:$A$1000,A427)&gt;1,"Duplicate Job ID",IF(AND(AG427&lt;&gt;100,AG427&lt;&gt;0),"Weights must total 100",IF(Z427-Y427&lt;7,"Closing date must be 7+ days after opening","OK"))))</f>
        <v/>
      </c>
    </row>
    <row r="428">
      <c r="Y428" s="13" t="n"/>
      <c r="Z428" s="13" t="n"/>
      <c r="AF428" s="13" t="n"/>
      <c r="AG428" s="12">
        <f>IF(A428="","",SUMIFS('Assessment Weights'!$D:$D,'Assessment Weights'!$A:$A,A428))</f>
        <v/>
      </c>
      <c r="AH428" s="12">
        <f>IF(A428="","",IF(COUNTIF($A$2:$A$1000,A428)&gt;1,"Duplicate Job ID",IF(AND(AG428&lt;&gt;100,AG428&lt;&gt;0),"Weights must total 100",IF(Z428-Y428&lt;7,"Closing date must be 7+ days after opening","OK"))))</f>
        <v/>
      </c>
    </row>
    <row r="429">
      <c r="Y429" s="13" t="n"/>
      <c r="Z429" s="13" t="n"/>
      <c r="AF429" s="13" t="n"/>
      <c r="AG429" s="12">
        <f>IF(A429="","",SUMIFS('Assessment Weights'!$D:$D,'Assessment Weights'!$A:$A,A429))</f>
        <v/>
      </c>
      <c r="AH429" s="12">
        <f>IF(A429="","",IF(COUNTIF($A$2:$A$1000,A429)&gt;1,"Duplicate Job ID",IF(AND(AG429&lt;&gt;100,AG429&lt;&gt;0),"Weights must total 100",IF(Z429-Y429&lt;7,"Closing date must be 7+ days after opening","OK"))))</f>
        <v/>
      </c>
    </row>
    <row r="430">
      <c r="Y430" s="13" t="n"/>
      <c r="Z430" s="13" t="n"/>
      <c r="AF430" s="13" t="n"/>
      <c r="AG430" s="12">
        <f>IF(A430="","",SUMIFS('Assessment Weights'!$D:$D,'Assessment Weights'!$A:$A,A430))</f>
        <v/>
      </c>
      <c r="AH430" s="12">
        <f>IF(A430="","",IF(COUNTIF($A$2:$A$1000,A430)&gt;1,"Duplicate Job ID",IF(AND(AG430&lt;&gt;100,AG430&lt;&gt;0),"Weights must total 100",IF(Z430-Y430&lt;7,"Closing date must be 7+ days after opening","OK"))))</f>
        <v/>
      </c>
    </row>
    <row r="431">
      <c r="Y431" s="13" t="n"/>
      <c r="Z431" s="13" t="n"/>
      <c r="AF431" s="13" t="n"/>
      <c r="AG431" s="12">
        <f>IF(A431="","",SUMIFS('Assessment Weights'!$D:$D,'Assessment Weights'!$A:$A,A431))</f>
        <v/>
      </c>
      <c r="AH431" s="12">
        <f>IF(A431="","",IF(COUNTIF($A$2:$A$1000,A431)&gt;1,"Duplicate Job ID",IF(AND(AG431&lt;&gt;100,AG431&lt;&gt;0),"Weights must total 100",IF(Z431-Y431&lt;7,"Closing date must be 7+ days after opening","OK"))))</f>
        <v/>
      </c>
    </row>
    <row r="432">
      <c r="Y432" s="13" t="n"/>
      <c r="Z432" s="13" t="n"/>
      <c r="AF432" s="13" t="n"/>
      <c r="AG432" s="12">
        <f>IF(A432="","",SUMIFS('Assessment Weights'!$D:$D,'Assessment Weights'!$A:$A,A432))</f>
        <v/>
      </c>
      <c r="AH432" s="12">
        <f>IF(A432="","",IF(COUNTIF($A$2:$A$1000,A432)&gt;1,"Duplicate Job ID",IF(AND(AG432&lt;&gt;100,AG432&lt;&gt;0),"Weights must total 100",IF(Z432-Y432&lt;7,"Closing date must be 7+ days after opening","OK"))))</f>
        <v/>
      </c>
    </row>
    <row r="433">
      <c r="Y433" s="13" t="n"/>
      <c r="Z433" s="13" t="n"/>
      <c r="AF433" s="13" t="n"/>
      <c r="AG433" s="12">
        <f>IF(A433="","",SUMIFS('Assessment Weights'!$D:$D,'Assessment Weights'!$A:$A,A433))</f>
        <v/>
      </c>
      <c r="AH433" s="12">
        <f>IF(A433="","",IF(COUNTIF($A$2:$A$1000,A433)&gt;1,"Duplicate Job ID",IF(AND(AG433&lt;&gt;100,AG433&lt;&gt;0),"Weights must total 100",IF(Z433-Y433&lt;7,"Closing date must be 7+ days after opening","OK"))))</f>
        <v/>
      </c>
    </row>
    <row r="434">
      <c r="Y434" s="13" t="n"/>
      <c r="Z434" s="13" t="n"/>
      <c r="AF434" s="13" t="n"/>
      <c r="AG434" s="12">
        <f>IF(A434="","",SUMIFS('Assessment Weights'!$D:$D,'Assessment Weights'!$A:$A,A434))</f>
        <v/>
      </c>
      <c r="AH434" s="12">
        <f>IF(A434="","",IF(COUNTIF($A$2:$A$1000,A434)&gt;1,"Duplicate Job ID",IF(AND(AG434&lt;&gt;100,AG434&lt;&gt;0),"Weights must total 100",IF(Z434-Y434&lt;7,"Closing date must be 7+ days after opening","OK"))))</f>
        <v/>
      </c>
    </row>
    <row r="435">
      <c r="Y435" s="13" t="n"/>
      <c r="Z435" s="13" t="n"/>
      <c r="AF435" s="13" t="n"/>
      <c r="AG435" s="12">
        <f>IF(A435="","",SUMIFS('Assessment Weights'!$D:$D,'Assessment Weights'!$A:$A,A435))</f>
        <v/>
      </c>
      <c r="AH435" s="12">
        <f>IF(A435="","",IF(COUNTIF($A$2:$A$1000,A435)&gt;1,"Duplicate Job ID",IF(AND(AG435&lt;&gt;100,AG435&lt;&gt;0),"Weights must total 100",IF(Z435-Y435&lt;7,"Closing date must be 7+ days after opening","OK"))))</f>
        <v/>
      </c>
    </row>
    <row r="436">
      <c r="Y436" s="13" t="n"/>
      <c r="Z436" s="13" t="n"/>
      <c r="AF436" s="13" t="n"/>
      <c r="AG436" s="12">
        <f>IF(A436="","",SUMIFS('Assessment Weights'!$D:$D,'Assessment Weights'!$A:$A,A436))</f>
        <v/>
      </c>
      <c r="AH436" s="12">
        <f>IF(A436="","",IF(COUNTIF($A$2:$A$1000,A436)&gt;1,"Duplicate Job ID",IF(AND(AG436&lt;&gt;100,AG436&lt;&gt;0),"Weights must total 100",IF(Z436-Y436&lt;7,"Closing date must be 7+ days after opening","OK"))))</f>
        <v/>
      </c>
    </row>
    <row r="437">
      <c r="Y437" s="13" t="n"/>
      <c r="Z437" s="13" t="n"/>
      <c r="AF437" s="13" t="n"/>
      <c r="AG437" s="12">
        <f>IF(A437="","",SUMIFS('Assessment Weights'!$D:$D,'Assessment Weights'!$A:$A,A437))</f>
        <v/>
      </c>
      <c r="AH437" s="12">
        <f>IF(A437="","",IF(COUNTIF($A$2:$A$1000,A437)&gt;1,"Duplicate Job ID",IF(AND(AG437&lt;&gt;100,AG437&lt;&gt;0),"Weights must total 100",IF(Z437-Y437&lt;7,"Closing date must be 7+ days after opening","OK"))))</f>
        <v/>
      </c>
    </row>
    <row r="438">
      <c r="Y438" s="13" t="n"/>
      <c r="Z438" s="13" t="n"/>
      <c r="AF438" s="13" t="n"/>
      <c r="AG438" s="12">
        <f>IF(A438="","",SUMIFS('Assessment Weights'!$D:$D,'Assessment Weights'!$A:$A,A438))</f>
        <v/>
      </c>
      <c r="AH438" s="12">
        <f>IF(A438="","",IF(COUNTIF($A$2:$A$1000,A438)&gt;1,"Duplicate Job ID",IF(AND(AG438&lt;&gt;100,AG438&lt;&gt;0),"Weights must total 100",IF(Z438-Y438&lt;7,"Closing date must be 7+ days after opening","OK"))))</f>
        <v/>
      </c>
    </row>
    <row r="439">
      <c r="Y439" s="13" t="n"/>
      <c r="Z439" s="13" t="n"/>
      <c r="AF439" s="13" t="n"/>
      <c r="AG439" s="12">
        <f>IF(A439="","",SUMIFS('Assessment Weights'!$D:$D,'Assessment Weights'!$A:$A,A439))</f>
        <v/>
      </c>
      <c r="AH439" s="12">
        <f>IF(A439="","",IF(COUNTIF($A$2:$A$1000,A439)&gt;1,"Duplicate Job ID",IF(AND(AG439&lt;&gt;100,AG439&lt;&gt;0),"Weights must total 100",IF(Z439-Y439&lt;7,"Closing date must be 7+ days after opening","OK"))))</f>
        <v/>
      </c>
    </row>
    <row r="440">
      <c r="Y440" s="13" t="n"/>
      <c r="Z440" s="13" t="n"/>
      <c r="AF440" s="13" t="n"/>
      <c r="AG440" s="12">
        <f>IF(A440="","",SUMIFS('Assessment Weights'!$D:$D,'Assessment Weights'!$A:$A,A440))</f>
        <v/>
      </c>
      <c r="AH440" s="12">
        <f>IF(A440="","",IF(COUNTIF($A$2:$A$1000,A440)&gt;1,"Duplicate Job ID",IF(AND(AG440&lt;&gt;100,AG440&lt;&gt;0),"Weights must total 100",IF(Z440-Y440&lt;7,"Closing date must be 7+ days after opening","OK"))))</f>
        <v/>
      </c>
    </row>
    <row r="441">
      <c r="Y441" s="13" t="n"/>
      <c r="Z441" s="13" t="n"/>
      <c r="AF441" s="13" t="n"/>
      <c r="AG441" s="12">
        <f>IF(A441="","",SUMIFS('Assessment Weights'!$D:$D,'Assessment Weights'!$A:$A,A441))</f>
        <v/>
      </c>
      <c r="AH441" s="12">
        <f>IF(A441="","",IF(COUNTIF($A$2:$A$1000,A441)&gt;1,"Duplicate Job ID",IF(AND(AG441&lt;&gt;100,AG441&lt;&gt;0),"Weights must total 100",IF(Z441-Y441&lt;7,"Closing date must be 7+ days after opening","OK"))))</f>
        <v/>
      </c>
    </row>
    <row r="442">
      <c r="Y442" s="13" t="n"/>
      <c r="Z442" s="13" t="n"/>
      <c r="AF442" s="13" t="n"/>
      <c r="AG442" s="12">
        <f>IF(A442="","",SUMIFS('Assessment Weights'!$D:$D,'Assessment Weights'!$A:$A,A442))</f>
        <v/>
      </c>
      <c r="AH442" s="12">
        <f>IF(A442="","",IF(COUNTIF($A$2:$A$1000,A442)&gt;1,"Duplicate Job ID",IF(AND(AG442&lt;&gt;100,AG442&lt;&gt;0),"Weights must total 100",IF(Z442-Y442&lt;7,"Closing date must be 7+ days after opening","OK"))))</f>
        <v/>
      </c>
    </row>
    <row r="443">
      <c r="Y443" s="13" t="n"/>
      <c r="Z443" s="13" t="n"/>
      <c r="AF443" s="13" t="n"/>
      <c r="AG443" s="12">
        <f>IF(A443="","",SUMIFS('Assessment Weights'!$D:$D,'Assessment Weights'!$A:$A,A443))</f>
        <v/>
      </c>
      <c r="AH443" s="12">
        <f>IF(A443="","",IF(COUNTIF($A$2:$A$1000,A443)&gt;1,"Duplicate Job ID",IF(AND(AG443&lt;&gt;100,AG443&lt;&gt;0),"Weights must total 100",IF(Z443-Y443&lt;7,"Closing date must be 7+ days after opening","OK"))))</f>
        <v/>
      </c>
    </row>
    <row r="444">
      <c r="Y444" s="13" t="n"/>
      <c r="Z444" s="13" t="n"/>
      <c r="AF444" s="13" t="n"/>
      <c r="AG444" s="12">
        <f>IF(A444="","",SUMIFS('Assessment Weights'!$D:$D,'Assessment Weights'!$A:$A,A444))</f>
        <v/>
      </c>
      <c r="AH444" s="12">
        <f>IF(A444="","",IF(COUNTIF($A$2:$A$1000,A444)&gt;1,"Duplicate Job ID",IF(AND(AG444&lt;&gt;100,AG444&lt;&gt;0),"Weights must total 100",IF(Z444-Y444&lt;7,"Closing date must be 7+ days after opening","OK"))))</f>
        <v/>
      </c>
    </row>
    <row r="445">
      <c r="Y445" s="13" t="n"/>
      <c r="Z445" s="13" t="n"/>
      <c r="AF445" s="13" t="n"/>
      <c r="AG445" s="12">
        <f>IF(A445="","",SUMIFS('Assessment Weights'!$D:$D,'Assessment Weights'!$A:$A,A445))</f>
        <v/>
      </c>
      <c r="AH445" s="12">
        <f>IF(A445="","",IF(COUNTIF($A$2:$A$1000,A445)&gt;1,"Duplicate Job ID",IF(AND(AG445&lt;&gt;100,AG445&lt;&gt;0),"Weights must total 100",IF(Z445-Y445&lt;7,"Closing date must be 7+ days after opening","OK"))))</f>
        <v/>
      </c>
    </row>
    <row r="446">
      <c r="Y446" s="13" t="n"/>
      <c r="Z446" s="13" t="n"/>
      <c r="AF446" s="13" t="n"/>
      <c r="AG446" s="12">
        <f>IF(A446="","",SUMIFS('Assessment Weights'!$D:$D,'Assessment Weights'!$A:$A,A446))</f>
        <v/>
      </c>
      <c r="AH446" s="12">
        <f>IF(A446="","",IF(COUNTIF($A$2:$A$1000,A446)&gt;1,"Duplicate Job ID",IF(AND(AG446&lt;&gt;100,AG446&lt;&gt;0),"Weights must total 100",IF(Z446-Y446&lt;7,"Closing date must be 7+ days after opening","OK"))))</f>
        <v/>
      </c>
    </row>
    <row r="447">
      <c r="Y447" s="13" t="n"/>
      <c r="Z447" s="13" t="n"/>
      <c r="AF447" s="13" t="n"/>
      <c r="AG447" s="12">
        <f>IF(A447="","",SUMIFS('Assessment Weights'!$D:$D,'Assessment Weights'!$A:$A,A447))</f>
        <v/>
      </c>
      <c r="AH447" s="12">
        <f>IF(A447="","",IF(COUNTIF($A$2:$A$1000,A447)&gt;1,"Duplicate Job ID",IF(AND(AG447&lt;&gt;100,AG447&lt;&gt;0),"Weights must total 100",IF(Z447-Y447&lt;7,"Closing date must be 7+ days after opening","OK"))))</f>
        <v/>
      </c>
    </row>
    <row r="448">
      <c r="Y448" s="13" t="n"/>
      <c r="Z448" s="13" t="n"/>
      <c r="AF448" s="13" t="n"/>
      <c r="AG448" s="12">
        <f>IF(A448="","",SUMIFS('Assessment Weights'!$D:$D,'Assessment Weights'!$A:$A,A448))</f>
        <v/>
      </c>
      <c r="AH448" s="12">
        <f>IF(A448="","",IF(COUNTIF($A$2:$A$1000,A448)&gt;1,"Duplicate Job ID",IF(AND(AG448&lt;&gt;100,AG448&lt;&gt;0),"Weights must total 100",IF(Z448-Y448&lt;7,"Closing date must be 7+ days after opening","OK"))))</f>
        <v/>
      </c>
    </row>
    <row r="449">
      <c r="Y449" s="13" t="n"/>
      <c r="Z449" s="13" t="n"/>
      <c r="AF449" s="13" t="n"/>
      <c r="AG449" s="12">
        <f>IF(A449="","",SUMIFS('Assessment Weights'!$D:$D,'Assessment Weights'!$A:$A,A449))</f>
        <v/>
      </c>
      <c r="AH449" s="12">
        <f>IF(A449="","",IF(COUNTIF($A$2:$A$1000,A449)&gt;1,"Duplicate Job ID",IF(AND(AG449&lt;&gt;100,AG449&lt;&gt;0),"Weights must total 100",IF(Z449-Y449&lt;7,"Closing date must be 7+ days after opening","OK"))))</f>
        <v/>
      </c>
    </row>
    <row r="450">
      <c r="Y450" s="13" t="n"/>
      <c r="Z450" s="13" t="n"/>
      <c r="AF450" s="13" t="n"/>
      <c r="AG450" s="12">
        <f>IF(A450="","",SUMIFS('Assessment Weights'!$D:$D,'Assessment Weights'!$A:$A,A450))</f>
        <v/>
      </c>
      <c r="AH450" s="12">
        <f>IF(A450="","",IF(COUNTIF($A$2:$A$1000,A450)&gt;1,"Duplicate Job ID",IF(AND(AG450&lt;&gt;100,AG450&lt;&gt;0),"Weights must total 100",IF(Z450-Y450&lt;7,"Closing date must be 7+ days after opening","OK"))))</f>
        <v/>
      </c>
    </row>
    <row r="451">
      <c r="Y451" s="13" t="n"/>
      <c r="Z451" s="13" t="n"/>
      <c r="AF451" s="13" t="n"/>
      <c r="AG451" s="12">
        <f>IF(A451="","",SUMIFS('Assessment Weights'!$D:$D,'Assessment Weights'!$A:$A,A451))</f>
        <v/>
      </c>
      <c r="AH451" s="12">
        <f>IF(A451="","",IF(COUNTIF($A$2:$A$1000,A451)&gt;1,"Duplicate Job ID",IF(AND(AG451&lt;&gt;100,AG451&lt;&gt;0),"Weights must total 100",IF(Z451-Y451&lt;7,"Closing date must be 7+ days after opening","OK"))))</f>
        <v/>
      </c>
    </row>
    <row r="452">
      <c r="Y452" s="13" t="n"/>
      <c r="Z452" s="13" t="n"/>
      <c r="AF452" s="13" t="n"/>
      <c r="AG452" s="12">
        <f>IF(A452="","",SUMIFS('Assessment Weights'!$D:$D,'Assessment Weights'!$A:$A,A452))</f>
        <v/>
      </c>
      <c r="AH452" s="12">
        <f>IF(A452="","",IF(COUNTIF($A$2:$A$1000,A452)&gt;1,"Duplicate Job ID",IF(AND(AG452&lt;&gt;100,AG452&lt;&gt;0),"Weights must total 100",IF(Z452-Y452&lt;7,"Closing date must be 7+ days after opening","OK"))))</f>
        <v/>
      </c>
    </row>
    <row r="453">
      <c r="Y453" s="13" t="n"/>
      <c r="Z453" s="13" t="n"/>
      <c r="AF453" s="13" t="n"/>
      <c r="AG453" s="12">
        <f>IF(A453="","",SUMIFS('Assessment Weights'!$D:$D,'Assessment Weights'!$A:$A,A453))</f>
        <v/>
      </c>
      <c r="AH453" s="12">
        <f>IF(A453="","",IF(COUNTIF($A$2:$A$1000,A453)&gt;1,"Duplicate Job ID",IF(AND(AG453&lt;&gt;100,AG453&lt;&gt;0),"Weights must total 100",IF(Z453-Y453&lt;7,"Closing date must be 7+ days after opening","OK"))))</f>
        <v/>
      </c>
    </row>
    <row r="454">
      <c r="Y454" s="13" t="n"/>
      <c r="Z454" s="13" t="n"/>
      <c r="AF454" s="13" t="n"/>
      <c r="AG454" s="12">
        <f>IF(A454="","",SUMIFS('Assessment Weights'!$D:$D,'Assessment Weights'!$A:$A,A454))</f>
        <v/>
      </c>
      <c r="AH454" s="12">
        <f>IF(A454="","",IF(COUNTIF($A$2:$A$1000,A454)&gt;1,"Duplicate Job ID",IF(AND(AG454&lt;&gt;100,AG454&lt;&gt;0),"Weights must total 100",IF(Z454-Y454&lt;7,"Closing date must be 7+ days after opening","OK"))))</f>
        <v/>
      </c>
    </row>
    <row r="455">
      <c r="Y455" s="13" t="n"/>
      <c r="Z455" s="13" t="n"/>
      <c r="AF455" s="13" t="n"/>
      <c r="AG455" s="12">
        <f>IF(A455="","",SUMIFS('Assessment Weights'!$D:$D,'Assessment Weights'!$A:$A,A455))</f>
        <v/>
      </c>
      <c r="AH455" s="12">
        <f>IF(A455="","",IF(COUNTIF($A$2:$A$1000,A455)&gt;1,"Duplicate Job ID",IF(AND(AG455&lt;&gt;100,AG455&lt;&gt;0),"Weights must total 100",IF(Z455-Y455&lt;7,"Closing date must be 7+ days after opening","OK"))))</f>
        <v/>
      </c>
    </row>
    <row r="456">
      <c r="Y456" s="13" t="n"/>
      <c r="Z456" s="13" t="n"/>
      <c r="AF456" s="13" t="n"/>
      <c r="AG456" s="12">
        <f>IF(A456="","",SUMIFS('Assessment Weights'!$D:$D,'Assessment Weights'!$A:$A,A456))</f>
        <v/>
      </c>
      <c r="AH456" s="12">
        <f>IF(A456="","",IF(COUNTIF($A$2:$A$1000,A456)&gt;1,"Duplicate Job ID",IF(AND(AG456&lt;&gt;100,AG456&lt;&gt;0),"Weights must total 100",IF(Z456-Y456&lt;7,"Closing date must be 7+ days after opening","OK"))))</f>
        <v/>
      </c>
    </row>
    <row r="457">
      <c r="Y457" s="13" t="n"/>
      <c r="Z457" s="13" t="n"/>
      <c r="AF457" s="13" t="n"/>
      <c r="AG457" s="12">
        <f>IF(A457="","",SUMIFS('Assessment Weights'!$D:$D,'Assessment Weights'!$A:$A,A457))</f>
        <v/>
      </c>
      <c r="AH457" s="12">
        <f>IF(A457="","",IF(COUNTIF($A$2:$A$1000,A457)&gt;1,"Duplicate Job ID",IF(AND(AG457&lt;&gt;100,AG457&lt;&gt;0),"Weights must total 100",IF(Z457-Y457&lt;7,"Closing date must be 7+ days after opening","OK"))))</f>
        <v/>
      </c>
    </row>
    <row r="458">
      <c r="Y458" s="13" t="n"/>
      <c r="Z458" s="13" t="n"/>
      <c r="AF458" s="13" t="n"/>
      <c r="AG458" s="12">
        <f>IF(A458="","",SUMIFS('Assessment Weights'!$D:$D,'Assessment Weights'!$A:$A,A458))</f>
        <v/>
      </c>
      <c r="AH458" s="12">
        <f>IF(A458="","",IF(COUNTIF($A$2:$A$1000,A458)&gt;1,"Duplicate Job ID",IF(AND(AG458&lt;&gt;100,AG458&lt;&gt;0),"Weights must total 100",IF(Z458-Y458&lt;7,"Closing date must be 7+ days after opening","OK"))))</f>
        <v/>
      </c>
    </row>
    <row r="459">
      <c r="Y459" s="13" t="n"/>
      <c r="Z459" s="13" t="n"/>
      <c r="AF459" s="13" t="n"/>
      <c r="AG459" s="12">
        <f>IF(A459="","",SUMIFS('Assessment Weights'!$D:$D,'Assessment Weights'!$A:$A,A459))</f>
        <v/>
      </c>
      <c r="AH459" s="12">
        <f>IF(A459="","",IF(COUNTIF($A$2:$A$1000,A459)&gt;1,"Duplicate Job ID",IF(AND(AG459&lt;&gt;100,AG459&lt;&gt;0),"Weights must total 100",IF(Z459-Y459&lt;7,"Closing date must be 7+ days after opening","OK"))))</f>
        <v/>
      </c>
    </row>
    <row r="460">
      <c r="Y460" s="13" t="n"/>
      <c r="Z460" s="13" t="n"/>
      <c r="AF460" s="13" t="n"/>
      <c r="AG460" s="12">
        <f>IF(A460="","",SUMIFS('Assessment Weights'!$D:$D,'Assessment Weights'!$A:$A,A460))</f>
        <v/>
      </c>
      <c r="AH460" s="12">
        <f>IF(A460="","",IF(COUNTIF($A$2:$A$1000,A460)&gt;1,"Duplicate Job ID",IF(AND(AG460&lt;&gt;100,AG460&lt;&gt;0),"Weights must total 100",IF(Z460-Y460&lt;7,"Closing date must be 7+ days after opening","OK"))))</f>
        <v/>
      </c>
    </row>
    <row r="461">
      <c r="Y461" s="13" t="n"/>
      <c r="Z461" s="13" t="n"/>
      <c r="AF461" s="13" t="n"/>
      <c r="AG461" s="12">
        <f>IF(A461="","",SUMIFS('Assessment Weights'!$D:$D,'Assessment Weights'!$A:$A,A461))</f>
        <v/>
      </c>
      <c r="AH461" s="12">
        <f>IF(A461="","",IF(COUNTIF($A$2:$A$1000,A461)&gt;1,"Duplicate Job ID",IF(AND(AG461&lt;&gt;100,AG461&lt;&gt;0),"Weights must total 100",IF(Z461-Y461&lt;7,"Closing date must be 7+ days after opening","OK"))))</f>
        <v/>
      </c>
    </row>
    <row r="462">
      <c r="Y462" s="13" t="n"/>
      <c r="Z462" s="13" t="n"/>
      <c r="AF462" s="13" t="n"/>
      <c r="AG462" s="12">
        <f>IF(A462="","",SUMIFS('Assessment Weights'!$D:$D,'Assessment Weights'!$A:$A,A462))</f>
        <v/>
      </c>
      <c r="AH462" s="12">
        <f>IF(A462="","",IF(COUNTIF($A$2:$A$1000,A462)&gt;1,"Duplicate Job ID",IF(AND(AG462&lt;&gt;100,AG462&lt;&gt;0),"Weights must total 100",IF(Z462-Y462&lt;7,"Closing date must be 7+ days after opening","OK"))))</f>
        <v/>
      </c>
    </row>
    <row r="463">
      <c r="Y463" s="13" t="n"/>
      <c r="Z463" s="13" t="n"/>
      <c r="AF463" s="13" t="n"/>
      <c r="AG463" s="12">
        <f>IF(A463="","",SUMIFS('Assessment Weights'!$D:$D,'Assessment Weights'!$A:$A,A463))</f>
        <v/>
      </c>
      <c r="AH463" s="12">
        <f>IF(A463="","",IF(COUNTIF($A$2:$A$1000,A463)&gt;1,"Duplicate Job ID",IF(AND(AG463&lt;&gt;100,AG463&lt;&gt;0),"Weights must total 100",IF(Z463-Y463&lt;7,"Closing date must be 7+ days after opening","OK"))))</f>
        <v/>
      </c>
    </row>
    <row r="464">
      <c r="Y464" s="13" t="n"/>
      <c r="Z464" s="13" t="n"/>
      <c r="AF464" s="13" t="n"/>
      <c r="AG464" s="12">
        <f>IF(A464="","",SUMIFS('Assessment Weights'!$D:$D,'Assessment Weights'!$A:$A,A464))</f>
        <v/>
      </c>
      <c r="AH464" s="12">
        <f>IF(A464="","",IF(COUNTIF($A$2:$A$1000,A464)&gt;1,"Duplicate Job ID",IF(AND(AG464&lt;&gt;100,AG464&lt;&gt;0),"Weights must total 100",IF(Z464-Y464&lt;7,"Closing date must be 7+ days after opening","OK"))))</f>
        <v/>
      </c>
    </row>
    <row r="465">
      <c r="Y465" s="13" t="n"/>
      <c r="Z465" s="13" t="n"/>
      <c r="AF465" s="13" t="n"/>
      <c r="AG465" s="12">
        <f>IF(A465="","",SUMIFS('Assessment Weights'!$D:$D,'Assessment Weights'!$A:$A,A465))</f>
        <v/>
      </c>
      <c r="AH465" s="12">
        <f>IF(A465="","",IF(COUNTIF($A$2:$A$1000,A465)&gt;1,"Duplicate Job ID",IF(AND(AG465&lt;&gt;100,AG465&lt;&gt;0),"Weights must total 100",IF(Z465-Y465&lt;7,"Closing date must be 7+ days after opening","OK"))))</f>
        <v/>
      </c>
    </row>
    <row r="466">
      <c r="Y466" s="13" t="n"/>
      <c r="Z466" s="13" t="n"/>
      <c r="AF466" s="13" t="n"/>
      <c r="AG466" s="12">
        <f>IF(A466="","",SUMIFS('Assessment Weights'!$D:$D,'Assessment Weights'!$A:$A,A466))</f>
        <v/>
      </c>
      <c r="AH466" s="12">
        <f>IF(A466="","",IF(COUNTIF($A$2:$A$1000,A466)&gt;1,"Duplicate Job ID",IF(AND(AG466&lt;&gt;100,AG466&lt;&gt;0),"Weights must total 100",IF(Z466-Y466&lt;7,"Closing date must be 7+ days after opening","OK"))))</f>
        <v/>
      </c>
    </row>
    <row r="467">
      <c r="Y467" s="13" t="n"/>
      <c r="Z467" s="13" t="n"/>
      <c r="AF467" s="13" t="n"/>
      <c r="AG467" s="12">
        <f>IF(A467="","",SUMIFS('Assessment Weights'!$D:$D,'Assessment Weights'!$A:$A,A467))</f>
        <v/>
      </c>
      <c r="AH467" s="12">
        <f>IF(A467="","",IF(COUNTIF($A$2:$A$1000,A467)&gt;1,"Duplicate Job ID",IF(AND(AG467&lt;&gt;100,AG467&lt;&gt;0),"Weights must total 100",IF(Z467-Y467&lt;7,"Closing date must be 7+ days after opening","OK"))))</f>
        <v/>
      </c>
    </row>
    <row r="468">
      <c r="Y468" s="13" t="n"/>
      <c r="Z468" s="13" t="n"/>
      <c r="AF468" s="13" t="n"/>
      <c r="AG468" s="12">
        <f>IF(A468="","",SUMIFS('Assessment Weights'!$D:$D,'Assessment Weights'!$A:$A,A468))</f>
        <v/>
      </c>
      <c r="AH468" s="12">
        <f>IF(A468="","",IF(COUNTIF($A$2:$A$1000,A468)&gt;1,"Duplicate Job ID",IF(AND(AG468&lt;&gt;100,AG468&lt;&gt;0),"Weights must total 100",IF(Z468-Y468&lt;7,"Closing date must be 7+ days after opening","OK"))))</f>
        <v/>
      </c>
    </row>
    <row r="469">
      <c r="Y469" s="13" t="n"/>
      <c r="Z469" s="13" t="n"/>
      <c r="AF469" s="13" t="n"/>
      <c r="AG469" s="12">
        <f>IF(A469="","",SUMIFS('Assessment Weights'!$D:$D,'Assessment Weights'!$A:$A,A469))</f>
        <v/>
      </c>
      <c r="AH469" s="12">
        <f>IF(A469="","",IF(COUNTIF($A$2:$A$1000,A469)&gt;1,"Duplicate Job ID",IF(AND(AG469&lt;&gt;100,AG469&lt;&gt;0),"Weights must total 100",IF(Z469-Y469&lt;7,"Closing date must be 7+ days after opening","OK"))))</f>
        <v/>
      </c>
    </row>
    <row r="470">
      <c r="Y470" s="13" t="n"/>
      <c r="Z470" s="13" t="n"/>
      <c r="AF470" s="13" t="n"/>
      <c r="AG470" s="12">
        <f>IF(A470="","",SUMIFS('Assessment Weights'!$D:$D,'Assessment Weights'!$A:$A,A470))</f>
        <v/>
      </c>
      <c r="AH470" s="12">
        <f>IF(A470="","",IF(COUNTIF($A$2:$A$1000,A470)&gt;1,"Duplicate Job ID",IF(AND(AG470&lt;&gt;100,AG470&lt;&gt;0),"Weights must total 100",IF(Z470-Y470&lt;7,"Closing date must be 7+ days after opening","OK"))))</f>
        <v/>
      </c>
    </row>
    <row r="471">
      <c r="Y471" s="13" t="n"/>
      <c r="Z471" s="13" t="n"/>
      <c r="AF471" s="13" t="n"/>
      <c r="AG471" s="12">
        <f>IF(A471="","",SUMIFS('Assessment Weights'!$D:$D,'Assessment Weights'!$A:$A,A471))</f>
        <v/>
      </c>
      <c r="AH471" s="12">
        <f>IF(A471="","",IF(COUNTIF($A$2:$A$1000,A471)&gt;1,"Duplicate Job ID",IF(AND(AG471&lt;&gt;100,AG471&lt;&gt;0),"Weights must total 100",IF(Z471-Y471&lt;7,"Closing date must be 7+ days after opening","OK"))))</f>
        <v/>
      </c>
    </row>
    <row r="472">
      <c r="Y472" s="13" t="n"/>
      <c r="Z472" s="13" t="n"/>
      <c r="AF472" s="13" t="n"/>
      <c r="AG472" s="12">
        <f>IF(A472="","",SUMIFS('Assessment Weights'!$D:$D,'Assessment Weights'!$A:$A,A472))</f>
        <v/>
      </c>
      <c r="AH472" s="12">
        <f>IF(A472="","",IF(COUNTIF($A$2:$A$1000,A472)&gt;1,"Duplicate Job ID",IF(AND(AG472&lt;&gt;100,AG472&lt;&gt;0),"Weights must total 100",IF(Z472-Y472&lt;7,"Closing date must be 7+ days after opening","OK"))))</f>
        <v/>
      </c>
    </row>
    <row r="473">
      <c r="Y473" s="13" t="n"/>
      <c r="Z473" s="13" t="n"/>
      <c r="AF473" s="13" t="n"/>
      <c r="AG473" s="12">
        <f>IF(A473="","",SUMIFS('Assessment Weights'!$D:$D,'Assessment Weights'!$A:$A,A473))</f>
        <v/>
      </c>
      <c r="AH473" s="12">
        <f>IF(A473="","",IF(COUNTIF($A$2:$A$1000,A473)&gt;1,"Duplicate Job ID",IF(AND(AG473&lt;&gt;100,AG473&lt;&gt;0),"Weights must total 100",IF(Z473-Y473&lt;7,"Closing date must be 7+ days after opening","OK"))))</f>
        <v/>
      </c>
    </row>
    <row r="474">
      <c r="Y474" s="13" t="n"/>
      <c r="Z474" s="13" t="n"/>
      <c r="AF474" s="13" t="n"/>
      <c r="AG474" s="12">
        <f>IF(A474="","",SUMIFS('Assessment Weights'!$D:$D,'Assessment Weights'!$A:$A,A474))</f>
        <v/>
      </c>
      <c r="AH474" s="12">
        <f>IF(A474="","",IF(COUNTIF($A$2:$A$1000,A474)&gt;1,"Duplicate Job ID",IF(AND(AG474&lt;&gt;100,AG474&lt;&gt;0),"Weights must total 100",IF(Z474-Y474&lt;7,"Closing date must be 7+ days after opening","OK"))))</f>
        <v/>
      </c>
    </row>
    <row r="475">
      <c r="Y475" s="13" t="n"/>
      <c r="Z475" s="13" t="n"/>
      <c r="AF475" s="13" t="n"/>
      <c r="AG475" s="12">
        <f>IF(A475="","",SUMIFS('Assessment Weights'!$D:$D,'Assessment Weights'!$A:$A,A475))</f>
        <v/>
      </c>
      <c r="AH475" s="12">
        <f>IF(A475="","",IF(COUNTIF($A$2:$A$1000,A475)&gt;1,"Duplicate Job ID",IF(AND(AG475&lt;&gt;100,AG475&lt;&gt;0),"Weights must total 100",IF(Z475-Y475&lt;7,"Closing date must be 7+ days after opening","OK"))))</f>
        <v/>
      </c>
    </row>
    <row r="476">
      <c r="Y476" s="13" t="n"/>
      <c r="Z476" s="13" t="n"/>
      <c r="AF476" s="13" t="n"/>
      <c r="AG476" s="12">
        <f>IF(A476="","",SUMIFS('Assessment Weights'!$D:$D,'Assessment Weights'!$A:$A,A476))</f>
        <v/>
      </c>
      <c r="AH476" s="12">
        <f>IF(A476="","",IF(COUNTIF($A$2:$A$1000,A476)&gt;1,"Duplicate Job ID",IF(AND(AG476&lt;&gt;100,AG476&lt;&gt;0),"Weights must total 100",IF(Z476-Y476&lt;7,"Closing date must be 7+ days after opening","OK"))))</f>
        <v/>
      </c>
    </row>
    <row r="477">
      <c r="Y477" s="13" t="n"/>
      <c r="Z477" s="13" t="n"/>
      <c r="AF477" s="13" t="n"/>
      <c r="AG477" s="12">
        <f>IF(A477="","",SUMIFS('Assessment Weights'!$D:$D,'Assessment Weights'!$A:$A,A477))</f>
        <v/>
      </c>
      <c r="AH477" s="12">
        <f>IF(A477="","",IF(COUNTIF($A$2:$A$1000,A477)&gt;1,"Duplicate Job ID",IF(AND(AG477&lt;&gt;100,AG477&lt;&gt;0),"Weights must total 100",IF(Z477-Y477&lt;7,"Closing date must be 7+ days after opening","OK"))))</f>
        <v/>
      </c>
    </row>
    <row r="478">
      <c r="Y478" s="13" t="n"/>
      <c r="Z478" s="13" t="n"/>
      <c r="AF478" s="13" t="n"/>
      <c r="AG478" s="12">
        <f>IF(A478="","",SUMIFS('Assessment Weights'!$D:$D,'Assessment Weights'!$A:$A,A478))</f>
        <v/>
      </c>
      <c r="AH478" s="12">
        <f>IF(A478="","",IF(COUNTIF($A$2:$A$1000,A478)&gt;1,"Duplicate Job ID",IF(AND(AG478&lt;&gt;100,AG478&lt;&gt;0),"Weights must total 100",IF(Z478-Y478&lt;7,"Closing date must be 7+ days after opening","OK"))))</f>
        <v/>
      </c>
    </row>
    <row r="479">
      <c r="Y479" s="13" t="n"/>
      <c r="Z479" s="13" t="n"/>
      <c r="AF479" s="13" t="n"/>
      <c r="AG479" s="12">
        <f>IF(A479="","",SUMIFS('Assessment Weights'!$D:$D,'Assessment Weights'!$A:$A,A479))</f>
        <v/>
      </c>
      <c r="AH479" s="12">
        <f>IF(A479="","",IF(COUNTIF($A$2:$A$1000,A479)&gt;1,"Duplicate Job ID",IF(AND(AG479&lt;&gt;100,AG479&lt;&gt;0),"Weights must total 100",IF(Z479-Y479&lt;7,"Closing date must be 7+ days after opening","OK"))))</f>
        <v/>
      </c>
    </row>
    <row r="480">
      <c r="Y480" s="13" t="n"/>
      <c r="Z480" s="13" t="n"/>
      <c r="AF480" s="13" t="n"/>
      <c r="AG480" s="12">
        <f>IF(A480="","",SUMIFS('Assessment Weights'!$D:$D,'Assessment Weights'!$A:$A,A480))</f>
        <v/>
      </c>
      <c r="AH480" s="12">
        <f>IF(A480="","",IF(COUNTIF($A$2:$A$1000,A480)&gt;1,"Duplicate Job ID",IF(AND(AG480&lt;&gt;100,AG480&lt;&gt;0),"Weights must total 100",IF(Z480-Y480&lt;7,"Closing date must be 7+ days after opening","OK"))))</f>
        <v/>
      </c>
    </row>
    <row r="481">
      <c r="Y481" s="13" t="n"/>
      <c r="Z481" s="13" t="n"/>
      <c r="AF481" s="13" t="n"/>
      <c r="AG481" s="12">
        <f>IF(A481="","",SUMIFS('Assessment Weights'!$D:$D,'Assessment Weights'!$A:$A,A481))</f>
        <v/>
      </c>
      <c r="AH481" s="12">
        <f>IF(A481="","",IF(COUNTIF($A$2:$A$1000,A481)&gt;1,"Duplicate Job ID",IF(AND(AG481&lt;&gt;100,AG481&lt;&gt;0),"Weights must total 100",IF(Z481-Y481&lt;7,"Closing date must be 7+ days after opening","OK"))))</f>
        <v/>
      </c>
    </row>
    <row r="482">
      <c r="Y482" s="13" t="n"/>
      <c r="Z482" s="13" t="n"/>
      <c r="AF482" s="13" t="n"/>
      <c r="AG482" s="12">
        <f>IF(A482="","",SUMIFS('Assessment Weights'!$D:$D,'Assessment Weights'!$A:$A,A482))</f>
        <v/>
      </c>
      <c r="AH482" s="12">
        <f>IF(A482="","",IF(COUNTIF($A$2:$A$1000,A482)&gt;1,"Duplicate Job ID",IF(AND(AG482&lt;&gt;100,AG482&lt;&gt;0),"Weights must total 100",IF(Z482-Y482&lt;7,"Closing date must be 7+ days after opening","OK"))))</f>
        <v/>
      </c>
    </row>
    <row r="483">
      <c r="Y483" s="13" t="n"/>
      <c r="Z483" s="13" t="n"/>
      <c r="AF483" s="13" t="n"/>
      <c r="AG483" s="12">
        <f>IF(A483="","",SUMIFS('Assessment Weights'!$D:$D,'Assessment Weights'!$A:$A,A483))</f>
        <v/>
      </c>
      <c r="AH483" s="12">
        <f>IF(A483="","",IF(COUNTIF($A$2:$A$1000,A483)&gt;1,"Duplicate Job ID",IF(AND(AG483&lt;&gt;100,AG483&lt;&gt;0),"Weights must total 100",IF(Z483-Y483&lt;7,"Closing date must be 7+ days after opening","OK"))))</f>
        <v/>
      </c>
    </row>
    <row r="484">
      <c r="Y484" s="13" t="n"/>
      <c r="Z484" s="13" t="n"/>
      <c r="AF484" s="13" t="n"/>
      <c r="AG484" s="12">
        <f>IF(A484="","",SUMIFS('Assessment Weights'!$D:$D,'Assessment Weights'!$A:$A,A484))</f>
        <v/>
      </c>
      <c r="AH484" s="12">
        <f>IF(A484="","",IF(COUNTIF($A$2:$A$1000,A484)&gt;1,"Duplicate Job ID",IF(AND(AG484&lt;&gt;100,AG484&lt;&gt;0),"Weights must total 100",IF(Z484-Y484&lt;7,"Closing date must be 7+ days after opening","OK"))))</f>
        <v/>
      </c>
    </row>
    <row r="485">
      <c r="Y485" s="13" t="n"/>
      <c r="Z485" s="13" t="n"/>
      <c r="AF485" s="13" t="n"/>
      <c r="AG485" s="12">
        <f>IF(A485="","",SUMIFS('Assessment Weights'!$D:$D,'Assessment Weights'!$A:$A,A485))</f>
        <v/>
      </c>
      <c r="AH485" s="12">
        <f>IF(A485="","",IF(COUNTIF($A$2:$A$1000,A485)&gt;1,"Duplicate Job ID",IF(AND(AG485&lt;&gt;100,AG485&lt;&gt;0),"Weights must total 100",IF(Z485-Y485&lt;7,"Closing date must be 7+ days after opening","OK"))))</f>
        <v/>
      </c>
    </row>
    <row r="486">
      <c r="Y486" s="13" t="n"/>
      <c r="Z486" s="13" t="n"/>
      <c r="AF486" s="13" t="n"/>
      <c r="AG486" s="12">
        <f>IF(A486="","",SUMIFS('Assessment Weights'!$D:$D,'Assessment Weights'!$A:$A,A486))</f>
        <v/>
      </c>
      <c r="AH486" s="12">
        <f>IF(A486="","",IF(COUNTIF($A$2:$A$1000,A486)&gt;1,"Duplicate Job ID",IF(AND(AG486&lt;&gt;100,AG486&lt;&gt;0),"Weights must total 100",IF(Z486-Y486&lt;7,"Closing date must be 7+ days after opening","OK"))))</f>
        <v/>
      </c>
    </row>
    <row r="487">
      <c r="Y487" s="13" t="n"/>
      <c r="Z487" s="13" t="n"/>
      <c r="AF487" s="13" t="n"/>
      <c r="AG487" s="12">
        <f>IF(A487="","",SUMIFS('Assessment Weights'!$D:$D,'Assessment Weights'!$A:$A,A487))</f>
        <v/>
      </c>
      <c r="AH487" s="12">
        <f>IF(A487="","",IF(COUNTIF($A$2:$A$1000,A487)&gt;1,"Duplicate Job ID",IF(AND(AG487&lt;&gt;100,AG487&lt;&gt;0),"Weights must total 100",IF(Z487-Y487&lt;7,"Closing date must be 7+ days after opening","OK"))))</f>
        <v/>
      </c>
    </row>
    <row r="488">
      <c r="Y488" s="13" t="n"/>
      <c r="Z488" s="13" t="n"/>
      <c r="AF488" s="13" t="n"/>
      <c r="AG488" s="12">
        <f>IF(A488="","",SUMIFS('Assessment Weights'!$D:$D,'Assessment Weights'!$A:$A,A488))</f>
        <v/>
      </c>
      <c r="AH488" s="12">
        <f>IF(A488="","",IF(COUNTIF($A$2:$A$1000,A488)&gt;1,"Duplicate Job ID",IF(AND(AG488&lt;&gt;100,AG488&lt;&gt;0),"Weights must total 100",IF(Z488-Y488&lt;7,"Closing date must be 7+ days after opening","OK"))))</f>
        <v/>
      </c>
    </row>
    <row r="489">
      <c r="Y489" s="13" t="n"/>
      <c r="Z489" s="13" t="n"/>
      <c r="AF489" s="13" t="n"/>
      <c r="AG489" s="12">
        <f>IF(A489="","",SUMIFS('Assessment Weights'!$D:$D,'Assessment Weights'!$A:$A,A489))</f>
        <v/>
      </c>
      <c r="AH489" s="12">
        <f>IF(A489="","",IF(COUNTIF($A$2:$A$1000,A489)&gt;1,"Duplicate Job ID",IF(AND(AG489&lt;&gt;100,AG489&lt;&gt;0),"Weights must total 100",IF(Z489-Y489&lt;7,"Closing date must be 7+ days after opening","OK"))))</f>
        <v/>
      </c>
    </row>
    <row r="490">
      <c r="Y490" s="13" t="n"/>
      <c r="Z490" s="13" t="n"/>
      <c r="AF490" s="13" t="n"/>
      <c r="AG490" s="12">
        <f>IF(A490="","",SUMIFS('Assessment Weights'!$D:$D,'Assessment Weights'!$A:$A,A490))</f>
        <v/>
      </c>
      <c r="AH490" s="12">
        <f>IF(A490="","",IF(COUNTIF($A$2:$A$1000,A490)&gt;1,"Duplicate Job ID",IF(AND(AG490&lt;&gt;100,AG490&lt;&gt;0),"Weights must total 100",IF(Z490-Y490&lt;7,"Closing date must be 7+ days after opening","OK"))))</f>
        <v/>
      </c>
    </row>
    <row r="491">
      <c r="Y491" s="13" t="n"/>
      <c r="Z491" s="13" t="n"/>
      <c r="AF491" s="13" t="n"/>
      <c r="AG491" s="12">
        <f>IF(A491="","",SUMIFS('Assessment Weights'!$D:$D,'Assessment Weights'!$A:$A,A491))</f>
        <v/>
      </c>
      <c r="AH491" s="12">
        <f>IF(A491="","",IF(COUNTIF($A$2:$A$1000,A491)&gt;1,"Duplicate Job ID",IF(AND(AG491&lt;&gt;100,AG491&lt;&gt;0),"Weights must total 100",IF(Z491-Y491&lt;7,"Closing date must be 7+ days after opening","OK"))))</f>
        <v/>
      </c>
    </row>
    <row r="492">
      <c r="Y492" s="13" t="n"/>
      <c r="Z492" s="13" t="n"/>
      <c r="AF492" s="13" t="n"/>
      <c r="AG492" s="12">
        <f>IF(A492="","",SUMIFS('Assessment Weights'!$D:$D,'Assessment Weights'!$A:$A,A492))</f>
        <v/>
      </c>
      <c r="AH492" s="12">
        <f>IF(A492="","",IF(COUNTIF($A$2:$A$1000,A492)&gt;1,"Duplicate Job ID",IF(AND(AG492&lt;&gt;100,AG492&lt;&gt;0),"Weights must total 100",IF(Z492-Y492&lt;7,"Closing date must be 7+ days after opening","OK"))))</f>
        <v/>
      </c>
    </row>
    <row r="493">
      <c r="Y493" s="13" t="n"/>
      <c r="Z493" s="13" t="n"/>
      <c r="AF493" s="13" t="n"/>
      <c r="AG493" s="12">
        <f>IF(A493="","",SUMIFS('Assessment Weights'!$D:$D,'Assessment Weights'!$A:$A,A493))</f>
        <v/>
      </c>
      <c r="AH493" s="12">
        <f>IF(A493="","",IF(COUNTIF($A$2:$A$1000,A493)&gt;1,"Duplicate Job ID",IF(AND(AG493&lt;&gt;100,AG493&lt;&gt;0),"Weights must total 100",IF(Z493-Y493&lt;7,"Closing date must be 7+ days after opening","OK"))))</f>
        <v/>
      </c>
    </row>
    <row r="494">
      <c r="Y494" s="13" t="n"/>
      <c r="Z494" s="13" t="n"/>
      <c r="AF494" s="13" t="n"/>
      <c r="AG494" s="12">
        <f>IF(A494="","",SUMIFS('Assessment Weights'!$D:$D,'Assessment Weights'!$A:$A,A494))</f>
        <v/>
      </c>
      <c r="AH494" s="12">
        <f>IF(A494="","",IF(COUNTIF($A$2:$A$1000,A494)&gt;1,"Duplicate Job ID",IF(AND(AG494&lt;&gt;100,AG494&lt;&gt;0),"Weights must total 100",IF(Z494-Y494&lt;7,"Closing date must be 7+ days after opening","OK"))))</f>
        <v/>
      </c>
    </row>
    <row r="495">
      <c r="Y495" s="13" t="n"/>
      <c r="Z495" s="13" t="n"/>
      <c r="AF495" s="13" t="n"/>
      <c r="AG495" s="12">
        <f>IF(A495="","",SUMIFS('Assessment Weights'!$D:$D,'Assessment Weights'!$A:$A,A495))</f>
        <v/>
      </c>
      <c r="AH495" s="12">
        <f>IF(A495="","",IF(COUNTIF($A$2:$A$1000,A495)&gt;1,"Duplicate Job ID",IF(AND(AG495&lt;&gt;100,AG495&lt;&gt;0),"Weights must total 100",IF(Z495-Y495&lt;7,"Closing date must be 7+ days after opening","OK"))))</f>
        <v/>
      </c>
    </row>
    <row r="496">
      <c r="Y496" s="13" t="n"/>
      <c r="Z496" s="13" t="n"/>
      <c r="AF496" s="13" t="n"/>
      <c r="AG496" s="12">
        <f>IF(A496="","",SUMIFS('Assessment Weights'!$D:$D,'Assessment Weights'!$A:$A,A496))</f>
        <v/>
      </c>
      <c r="AH496" s="12">
        <f>IF(A496="","",IF(COUNTIF($A$2:$A$1000,A496)&gt;1,"Duplicate Job ID",IF(AND(AG496&lt;&gt;100,AG496&lt;&gt;0),"Weights must total 100",IF(Z496-Y496&lt;7,"Closing date must be 7+ days after opening","OK"))))</f>
        <v/>
      </c>
    </row>
    <row r="497">
      <c r="Y497" s="13" t="n"/>
      <c r="Z497" s="13" t="n"/>
      <c r="AF497" s="13" t="n"/>
      <c r="AG497" s="12">
        <f>IF(A497="","",SUMIFS('Assessment Weights'!$D:$D,'Assessment Weights'!$A:$A,A497))</f>
        <v/>
      </c>
      <c r="AH497" s="12">
        <f>IF(A497="","",IF(COUNTIF($A$2:$A$1000,A497)&gt;1,"Duplicate Job ID",IF(AND(AG497&lt;&gt;100,AG497&lt;&gt;0),"Weights must total 100",IF(Z497-Y497&lt;7,"Closing date must be 7+ days after opening","OK"))))</f>
        <v/>
      </c>
    </row>
    <row r="498">
      <c r="Y498" s="13" t="n"/>
      <c r="Z498" s="13" t="n"/>
      <c r="AF498" s="13" t="n"/>
      <c r="AG498" s="12">
        <f>IF(A498="","",SUMIFS('Assessment Weights'!$D:$D,'Assessment Weights'!$A:$A,A498))</f>
        <v/>
      </c>
      <c r="AH498" s="12">
        <f>IF(A498="","",IF(COUNTIF($A$2:$A$1000,A498)&gt;1,"Duplicate Job ID",IF(AND(AG498&lt;&gt;100,AG498&lt;&gt;0),"Weights must total 100",IF(Z498-Y498&lt;7,"Closing date must be 7+ days after opening","OK"))))</f>
        <v/>
      </c>
    </row>
    <row r="499">
      <c r="Y499" s="13" t="n"/>
      <c r="Z499" s="13" t="n"/>
      <c r="AF499" s="13" t="n"/>
      <c r="AG499" s="12">
        <f>IF(A499="","",SUMIFS('Assessment Weights'!$D:$D,'Assessment Weights'!$A:$A,A499))</f>
        <v/>
      </c>
      <c r="AH499" s="12">
        <f>IF(A499="","",IF(COUNTIF($A$2:$A$1000,A499)&gt;1,"Duplicate Job ID",IF(AND(AG499&lt;&gt;100,AG499&lt;&gt;0),"Weights must total 100",IF(Z499-Y499&lt;7,"Closing date must be 7+ days after opening","OK"))))</f>
        <v/>
      </c>
    </row>
    <row r="500">
      <c r="Y500" s="13" t="n"/>
      <c r="Z500" s="13" t="n"/>
      <c r="AF500" s="13" t="n"/>
      <c r="AG500" s="12">
        <f>IF(A500="","",SUMIFS('Assessment Weights'!$D:$D,'Assessment Weights'!$A:$A,A500))</f>
        <v/>
      </c>
      <c r="AH500" s="12">
        <f>IF(A500="","",IF(COUNTIF($A$2:$A$1000,A500)&gt;1,"Duplicate Job ID",IF(AND(AG500&lt;&gt;100,AG500&lt;&gt;0),"Weights must total 100",IF(Z500-Y500&lt;7,"Closing date must be 7+ days after opening","OK"))))</f>
        <v/>
      </c>
    </row>
    <row r="501">
      <c r="Y501" s="13" t="n"/>
      <c r="Z501" s="13" t="n"/>
      <c r="AF501" s="13" t="n"/>
      <c r="AG501" s="12">
        <f>IF(A501="","",SUMIFS('Assessment Weights'!$D:$D,'Assessment Weights'!$A:$A,A501))</f>
        <v/>
      </c>
      <c r="AH501" s="12">
        <f>IF(A501="","",IF(COUNTIF($A$2:$A$1000,A501)&gt;1,"Duplicate Job ID",IF(AND(AG501&lt;&gt;100,AG501&lt;&gt;0),"Weights must total 100",IF(Z501-Y501&lt;7,"Closing date must be 7+ days after opening","OK"))))</f>
        <v/>
      </c>
    </row>
    <row r="502">
      <c r="Y502" s="13" t="n"/>
      <c r="Z502" s="13" t="n"/>
      <c r="AF502" s="13" t="n"/>
      <c r="AG502" s="12">
        <f>IF(A502="","",SUMIFS('Assessment Weights'!$D:$D,'Assessment Weights'!$A:$A,A502))</f>
        <v/>
      </c>
      <c r="AH502" s="12">
        <f>IF(A502="","",IF(COUNTIF($A$2:$A$1000,A502)&gt;1,"Duplicate Job ID",IF(AND(AG502&lt;&gt;100,AG502&lt;&gt;0),"Weights must total 100",IF(Z502-Y502&lt;7,"Closing date must be 7+ days after opening","OK"))))</f>
        <v/>
      </c>
    </row>
    <row r="503">
      <c r="Y503" s="13" t="n"/>
      <c r="Z503" s="13" t="n"/>
      <c r="AF503" s="13" t="n"/>
      <c r="AG503" s="12">
        <f>IF(A503="","",SUMIFS('Assessment Weights'!$D:$D,'Assessment Weights'!$A:$A,A503))</f>
        <v/>
      </c>
      <c r="AH503" s="12">
        <f>IF(A503="","",IF(COUNTIF($A$2:$A$1000,A503)&gt;1,"Duplicate Job ID",IF(AND(AG503&lt;&gt;100,AG503&lt;&gt;0),"Weights must total 100",IF(Z503-Y503&lt;7,"Closing date must be 7+ days after opening","OK"))))</f>
        <v/>
      </c>
    </row>
    <row r="504">
      <c r="Y504" s="13" t="n"/>
      <c r="Z504" s="13" t="n"/>
      <c r="AF504" s="13" t="n"/>
      <c r="AG504" s="12">
        <f>IF(A504="","",SUMIFS('Assessment Weights'!$D:$D,'Assessment Weights'!$A:$A,A504))</f>
        <v/>
      </c>
      <c r="AH504" s="12">
        <f>IF(A504="","",IF(COUNTIF($A$2:$A$1000,A504)&gt;1,"Duplicate Job ID",IF(AND(AG504&lt;&gt;100,AG504&lt;&gt;0),"Weights must total 100",IF(Z504-Y504&lt;7,"Closing date must be 7+ days after opening","OK"))))</f>
        <v/>
      </c>
    </row>
    <row r="505">
      <c r="Y505" s="13" t="n"/>
      <c r="Z505" s="13" t="n"/>
      <c r="AF505" s="13" t="n"/>
      <c r="AG505" s="12">
        <f>IF(A505="","",SUMIFS('Assessment Weights'!$D:$D,'Assessment Weights'!$A:$A,A505))</f>
        <v/>
      </c>
      <c r="AH505" s="12">
        <f>IF(A505="","",IF(COUNTIF($A$2:$A$1000,A505)&gt;1,"Duplicate Job ID",IF(AND(AG505&lt;&gt;100,AG505&lt;&gt;0),"Weights must total 100",IF(Z505-Y505&lt;7,"Closing date must be 7+ days after opening","OK"))))</f>
        <v/>
      </c>
    </row>
    <row r="506">
      <c r="Y506" s="13" t="n"/>
      <c r="Z506" s="13" t="n"/>
      <c r="AF506" s="13" t="n"/>
      <c r="AG506" s="12">
        <f>IF(A506="","",SUMIFS('Assessment Weights'!$D:$D,'Assessment Weights'!$A:$A,A506))</f>
        <v/>
      </c>
      <c r="AH506" s="12">
        <f>IF(A506="","",IF(COUNTIF($A$2:$A$1000,A506)&gt;1,"Duplicate Job ID",IF(AND(AG506&lt;&gt;100,AG506&lt;&gt;0),"Weights must total 100",IF(Z506-Y506&lt;7,"Closing date must be 7+ days after opening","OK"))))</f>
        <v/>
      </c>
    </row>
    <row r="507">
      <c r="Y507" s="13" t="n"/>
      <c r="Z507" s="13" t="n"/>
      <c r="AF507" s="13" t="n"/>
      <c r="AG507" s="12">
        <f>IF(A507="","",SUMIFS('Assessment Weights'!$D:$D,'Assessment Weights'!$A:$A,A507))</f>
        <v/>
      </c>
      <c r="AH507" s="12">
        <f>IF(A507="","",IF(COUNTIF($A$2:$A$1000,A507)&gt;1,"Duplicate Job ID",IF(AND(AG507&lt;&gt;100,AG507&lt;&gt;0),"Weights must total 100",IF(Z507-Y507&lt;7,"Closing date must be 7+ days after opening","OK"))))</f>
        <v/>
      </c>
    </row>
    <row r="508">
      <c r="Y508" s="13" t="n"/>
      <c r="Z508" s="13" t="n"/>
      <c r="AF508" s="13" t="n"/>
      <c r="AG508" s="12">
        <f>IF(A508="","",SUMIFS('Assessment Weights'!$D:$D,'Assessment Weights'!$A:$A,A508))</f>
        <v/>
      </c>
      <c r="AH508" s="12">
        <f>IF(A508="","",IF(COUNTIF($A$2:$A$1000,A508)&gt;1,"Duplicate Job ID",IF(AND(AG508&lt;&gt;100,AG508&lt;&gt;0),"Weights must total 100",IF(Z508-Y508&lt;7,"Closing date must be 7+ days after opening","OK"))))</f>
        <v/>
      </c>
    </row>
    <row r="509">
      <c r="Y509" s="13" t="n"/>
      <c r="Z509" s="13" t="n"/>
      <c r="AF509" s="13" t="n"/>
      <c r="AG509" s="12">
        <f>IF(A509="","",SUMIFS('Assessment Weights'!$D:$D,'Assessment Weights'!$A:$A,A509))</f>
        <v/>
      </c>
      <c r="AH509" s="12">
        <f>IF(A509="","",IF(COUNTIF($A$2:$A$1000,A509)&gt;1,"Duplicate Job ID",IF(AND(AG509&lt;&gt;100,AG509&lt;&gt;0),"Weights must total 100",IF(Z509-Y509&lt;7,"Closing date must be 7+ days after opening","OK"))))</f>
        <v/>
      </c>
    </row>
    <row r="510">
      <c r="Y510" s="13" t="n"/>
      <c r="Z510" s="13" t="n"/>
      <c r="AF510" s="13" t="n"/>
      <c r="AG510" s="12">
        <f>IF(A510="","",SUMIFS('Assessment Weights'!$D:$D,'Assessment Weights'!$A:$A,A510))</f>
        <v/>
      </c>
      <c r="AH510" s="12">
        <f>IF(A510="","",IF(COUNTIF($A$2:$A$1000,A510)&gt;1,"Duplicate Job ID",IF(AND(AG510&lt;&gt;100,AG510&lt;&gt;0),"Weights must total 100",IF(Z510-Y510&lt;7,"Closing date must be 7+ days after opening","OK"))))</f>
        <v/>
      </c>
    </row>
    <row r="511">
      <c r="Y511" s="13" t="n"/>
      <c r="Z511" s="13" t="n"/>
      <c r="AF511" s="13" t="n"/>
      <c r="AG511" s="12">
        <f>IF(A511="","",SUMIFS('Assessment Weights'!$D:$D,'Assessment Weights'!$A:$A,A511))</f>
        <v/>
      </c>
      <c r="AH511" s="12">
        <f>IF(A511="","",IF(COUNTIF($A$2:$A$1000,A511)&gt;1,"Duplicate Job ID",IF(AND(AG511&lt;&gt;100,AG511&lt;&gt;0),"Weights must total 100",IF(Z511-Y511&lt;7,"Closing date must be 7+ days after opening","OK"))))</f>
        <v/>
      </c>
    </row>
    <row r="512">
      <c r="Y512" s="13" t="n"/>
      <c r="Z512" s="13" t="n"/>
      <c r="AF512" s="13" t="n"/>
      <c r="AG512" s="12">
        <f>IF(A512="","",SUMIFS('Assessment Weights'!$D:$D,'Assessment Weights'!$A:$A,A512))</f>
        <v/>
      </c>
      <c r="AH512" s="12">
        <f>IF(A512="","",IF(COUNTIF($A$2:$A$1000,A512)&gt;1,"Duplicate Job ID",IF(AND(AG512&lt;&gt;100,AG512&lt;&gt;0),"Weights must total 100",IF(Z512-Y512&lt;7,"Closing date must be 7+ days after opening","OK"))))</f>
        <v/>
      </c>
    </row>
    <row r="513">
      <c r="Y513" s="13" t="n"/>
      <c r="Z513" s="13" t="n"/>
      <c r="AF513" s="13" t="n"/>
      <c r="AG513" s="12">
        <f>IF(A513="","",SUMIFS('Assessment Weights'!$D:$D,'Assessment Weights'!$A:$A,A513))</f>
        <v/>
      </c>
      <c r="AH513" s="12">
        <f>IF(A513="","",IF(COUNTIF($A$2:$A$1000,A513)&gt;1,"Duplicate Job ID",IF(AND(AG513&lt;&gt;100,AG513&lt;&gt;0),"Weights must total 100",IF(Z513-Y513&lt;7,"Closing date must be 7+ days after opening","OK"))))</f>
        <v/>
      </c>
    </row>
    <row r="514">
      <c r="Y514" s="13" t="n"/>
      <c r="Z514" s="13" t="n"/>
      <c r="AF514" s="13" t="n"/>
      <c r="AG514" s="12">
        <f>IF(A514="","",SUMIFS('Assessment Weights'!$D:$D,'Assessment Weights'!$A:$A,A514))</f>
        <v/>
      </c>
      <c r="AH514" s="12">
        <f>IF(A514="","",IF(COUNTIF($A$2:$A$1000,A514)&gt;1,"Duplicate Job ID",IF(AND(AG514&lt;&gt;100,AG514&lt;&gt;0),"Weights must total 100",IF(Z514-Y514&lt;7,"Closing date must be 7+ days after opening","OK"))))</f>
        <v/>
      </c>
    </row>
    <row r="515">
      <c r="Y515" s="13" t="n"/>
      <c r="Z515" s="13" t="n"/>
      <c r="AF515" s="13" t="n"/>
      <c r="AG515" s="12">
        <f>IF(A515="","",SUMIFS('Assessment Weights'!$D:$D,'Assessment Weights'!$A:$A,A515))</f>
        <v/>
      </c>
      <c r="AH515" s="12">
        <f>IF(A515="","",IF(COUNTIF($A$2:$A$1000,A515)&gt;1,"Duplicate Job ID",IF(AND(AG515&lt;&gt;100,AG515&lt;&gt;0),"Weights must total 100",IF(Z515-Y515&lt;7,"Closing date must be 7+ days after opening","OK"))))</f>
        <v/>
      </c>
    </row>
    <row r="516">
      <c r="Y516" s="13" t="n"/>
      <c r="Z516" s="13" t="n"/>
      <c r="AF516" s="13" t="n"/>
      <c r="AG516" s="12">
        <f>IF(A516="","",SUMIFS('Assessment Weights'!$D:$D,'Assessment Weights'!$A:$A,A516))</f>
        <v/>
      </c>
      <c r="AH516" s="12">
        <f>IF(A516="","",IF(COUNTIF($A$2:$A$1000,A516)&gt;1,"Duplicate Job ID",IF(AND(AG516&lt;&gt;100,AG516&lt;&gt;0),"Weights must total 100",IF(Z516-Y516&lt;7,"Closing date must be 7+ days after opening","OK"))))</f>
        <v/>
      </c>
    </row>
    <row r="517">
      <c r="Y517" s="13" t="n"/>
      <c r="Z517" s="13" t="n"/>
      <c r="AF517" s="13" t="n"/>
      <c r="AG517" s="12">
        <f>IF(A517="","",SUMIFS('Assessment Weights'!$D:$D,'Assessment Weights'!$A:$A,A517))</f>
        <v/>
      </c>
      <c r="AH517" s="12">
        <f>IF(A517="","",IF(COUNTIF($A$2:$A$1000,A517)&gt;1,"Duplicate Job ID",IF(AND(AG517&lt;&gt;100,AG517&lt;&gt;0),"Weights must total 100",IF(Z517-Y517&lt;7,"Closing date must be 7+ days after opening","OK"))))</f>
        <v/>
      </c>
    </row>
    <row r="518">
      <c r="Y518" s="13" t="n"/>
      <c r="Z518" s="13" t="n"/>
      <c r="AF518" s="13" t="n"/>
      <c r="AG518" s="12">
        <f>IF(A518="","",SUMIFS('Assessment Weights'!$D:$D,'Assessment Weights'!$A:$A,A518))</f>
        <v/>
      </c>
      <c r="AH518" s="12">
        <f>IF(A518="","",IF(COUNTIF($A$2:$A$1000,A518)&gt;1,"Duplicate Job ID",IF(AND(AG518&lt;&gt;100,AG518&lt;&gt;0),"Weights must total 100",IF(Z518-Y518&lt;7,"Closing date must be 7+ days after opening","OK"))))</f>
        <v/>
      </c>
    </row>
    <row r="519">
      <c r="Y519" s="13" t="n"/>
      <c r="Z519" s="13" t="n"/>
      <c r="AF519" s="13" t="n"/>
      <c r="AG519" s="12">
        <f>IF(A519="","",SUMIFS('Assessment Weights'!$D:$D,'Assessment Weights'!$A:$A,A519))</f>
        <v/>
      </c>
      <c r="AH519" s="12">
        <f>IF(A519="","",IF(COUNTIF($A$2:$A$1000,A519)&gt;1,"Duplicate Job ID",IF(AND(AG519&lt;&gt;100,AG519&lt;&gt;0),"Weights must total 100",IF(Z519-Y519&lt;7,"Closing date must be 7+ days after opening","OK"))))</f>
        <v/>
      </c>
    </row>
    <row r="520">
      <c r="Y520" s="13" t="n"/>
      <c r="Z520" s="13" t="n"/>
      <c r="AF520" s="13" t="n"/>
      <c r="AG520" s="12">
        <f>IF(A520="","",SUMIFS('Assessment Weights'!$D:$D,'Assessment Weights'!$A:$A,A520))</f>
        <v/>
      </c>
      <c r="AH520" s="12">
        <f>IF(A520="","",IF(COUNTIF($A$2:$A$1000,A520)&gt;1,"Duplicate Job ID",IF(AND(AG520&lt;&gt;100,AG520&lt;&gt;0),"Weights must total 100",IF(Z520-Y520&lt;7,"Closing date must be 7+ days after opening","OK"))))</f>
        <v/>
      </c>
    </row>
    <row r="521">
      <c r="Y521" s="13" t="n"/>
      <c r="Z521" s="13" t="n"/>
      <c r="AF521" s="13" t="n"/>
      <c r="AG521" s="12">
        <f>IF(A521="","",SUMIFS('Assessment Weights'!$D:$D,'Assessment Weights'!$A:$A,A521))</f>
        <v/>
      </c>
      <c r="AH521" s="12">
        <f>IF(A521="","",IF(COUNTIF($A$2:$A$1000,A521)&gt;1,"Duplicate Job ID",IF(AND(AG521&lt;&gt;100,AG521&lt;&gt;0),"Weights must total 100",IF(Z521-Y521&lt;7,"Closing date must be 7+ days after opening","OK"))))</f>
        <v/>
      </c>
    </row>
    <row r="522">
      <c r="Y522" s="13" t="n"/>
      <c r="Z522" s="13" t="n"/>
      <c r="AF522" s="13" t="n"/>
      <c r="AG522" s="12">
        <f>IF(A522="","",SUMIFS('Assessment Weights'!$D:$D,'Assessment Weights'!$A:$A,A522))</f>
        <v/>
      </c>
      <c r="AH522" s="12">
        <f>IF(A522="","",IF(COUNTIF($A$2:$A$1000,A522)&gt;1,"Duplicate Job ID",IF(AND(AG522&lt;&gt;100,AG522&lt;&gt;0),"Weights must total 100",IF(Z522-Y522&lt;7,"Closing date must be 7+ days after opening","OK"))))</f>
        <v/>
      </c>
    </row>
    <row r="523">
      <c r="Y523" s="13" t="n"/>
      <c r="Z523" s="13" t="n"/>
      <c r="AF523" s="13" t="n"/>
      <c r="AG523" s="12">
        <f>IF(A523="","",SUMIFS('Assessment Weights'!$D:$D,'Assessment Weights'!$A:$A,A523))</f>
        <v/>
      </c>
      <c r="AH523" s="12">
        <f>IF(A523="","",IF(COUNTIF($A$2:$A$1000,A523)&gt;1,"Duplicate Job ID",IF(AND(AG523&lt;&gt;100,AG523&lt;&gt;0),"Weights must total 100",IF(Z523-Y523&lt;7,"Closing date must be 7+ days after opening","OK"))))</f>
        <v/>
      </c>
    </row>
    <row r="524">
      <c r="Y524" s="13" t="n"/>
      <c r="Z524" s="13" t="n"/>
      <c r="AF524" s="13" t="n"/>
      <c r="AG524" s="12">
        <f>IF(A524="","",SUMIFS('Assessment Weights'!$D:$D,'Assessment Weights'!$A:$A,A524))</f>
        <v/>
      </c>
      <c r="AH524" s="12">
        <f>IF(A524="","",IF(COUNTIF($A$2:$A$1000,A524)&gt;1,"Duplicate Job ID",IF(AND(AG524&lt;&gt;100,AG524&lt;&gt;0),"Weights must total 100",IF(Z524-Y524&lt;7,"Closing date must be 7+ days after opening","OK"))))</f>
        <v/>
      </c>
    </row>
    <row r="525">
      <c r="Y525" s="13" t="n"/>
      <c r="Z525" s="13" t="n"/>
      <c r="AF525" s="13" t="n"/>
      <c r="AG525" s="12">
        <f>IF(A525="","",SUMIFS('Assessment Weights'!$D:$D,'Assessment Weights'!$A:$A,A525))</f>
        <v/>
      </c>
      <c r="AH525" s="12">
        <f>IF(A525="","",IF(COUNTIF($A$2:$A$1000,A525)&gt;1,"Duplicate Job ID",IF(AND(AG525&lt;&gt;100,AG525&lt;&gt;0),"Weights must total 100",IF(Z525-Y525&lt;7,"Closing date must be 7+ days after opening","OK"))))</f>
        <v/>
      </c>
    </row>
    <row r="526">
      <c r="Y526" s="13" t="n"/>
      <c r="Z526" s="13" t="n"/>
      <c r="AF526" s="13" t="n"/>
      <c r="AG526" s="12">
        <f>IF(A526="","",SUMIFS('Assessment Weights'!$D:$D,'Assessment Weights'!$A:$A,A526))</f>
        <v/>
      </c>
      <c r="AH526" s="12">
        <f>IF(A526="","",IF(COUNTIF($A$2:$A$1000,A526)&gt;1,"Duplicate Job ID",IF(AND(AG526&lt;&gt;100,AG526&lt;&gt;0),"Weights must total 100",IF(Z526-Y526&lt;7,"Closing date must be 7+ days after opening","OK"))))</f>
        <v/>
      </c>
    </row>
    <row r="527">
      <c r="Y527" s="13" t="n"/>
      <c r="Z527" s="13" t="n"/>
      <c r="AF527" s="13" t="n"/>
      <c r="AG527" s="12">
        <f>IF(A527="","",SUMIFS('Assessment Weights'!$D:$D,'Assessment Weights'!$A:$A,A527))</f>
        <v/>
      </c>
      <c r="AH527" s="12">
        <f>IF(A527="","",IF(COUNTIF($A$2:$A$1000,A527)&gt;1,"Duplicate Job ID",IF(AND(AG527&lt;&gt;100,AG527&lt;&gt;0),"Weights must total 100",IF(Z527-Y527&lt;7,"Closing date must be 7+ days after opening","OK"))))</f>
        <v/>
      </c>
    </row>
    <row r="528">
      <c r="Y528" s="13" t="n"/>
      <c r="Z528" s="13" t="n"/>
      <c r="AF528" s="13" t="n"/>
      <c r="AG528" s="12">
        <f>IF(A528="","",SUMIFS('Assessment Weights'!$D:$D,'Assessment Weights'!$A:$A,A528))</f>
        <v/>
      </c>
      <c r="AH528" s="12">
        <f>IF(A528="","",IF(COUNTIF($A$2:$A$1000,A528)&gt;1,"Duplicate Job ID",IF(AND(AG528&lt;&gt;100,AG528&lt;&gt;0),"Weights must total 100",IF(Z528-Y528&lt;7,"Closing date must be 7+ days after opening","OK"))))</f>
        <v/>
      </c>
    </row>
    <row r="529">
      <c r="Y529" s="13" t="n"/>
      <c r="Z529" s="13" t="n"/>
      <c r="AF529" s="13" t="n"/>
      <c r="AG529" s="12">
        <f>IF(A529="","",SUMIFS('Assessment Weights'!$D:$D,'Assessment Weights'!$A:$A,A529))</f>
        <v/>
      </c>
      <c r="AH529" s="12">
        <f>IF(A529="","",IF(COUNTIF($A$2:$A$1000,A529)&gt;1,"Duplicate Job ID",IF(AND(AG529&lt;&gt;100,AG529&lt;&gt;0),"Weights must total 100",IF(Z529-Y529&lt;7,"Closing date must be 7+ days after opening","OK"))))</f>
        <v/>
      </c>
    </row>
    <row r="530">
      <c r="Y530" s="13" t="n"/>
      <c r="Z530" s="13" t="n"/>
      <c r="AF530" s="13" t="n"/>
      <c r="AG530" s="12">
        <f>IF(A530="","",SUMIFS('Assessment Weights'!$D:$D,'Assessment Weights'!$A:$A,A530))</f>
        <v/>
      </c>
      <c r="AH530" s="12">
        <f>IF(A530="","",IF(COUNTIF($A$2:$A$1000,A530)&gt;1,"Duplicate Job ID",IF(AND(AG530&lt;&gt;100,AG530&lt;&gt;0),"Weights must total 100",IF(Z530-Y530&lt;7,"Closing date must be 7+ days after opening","OK"))))</f>
        <v/>
      </c>
    </row>
    <row r="531">
      <c r="Y531" s="13" t="n"/>
      <c r="Z531" s="13" t="n"/>
      <c r="AF531" s="13" t="n"/>
      <c r="AG531" s="12">
        <f>IF(A531="","",SUMIFS('Assessment Weights'!$D:$D,'Assessment Weights'!$A:$A,A531))</f>
        <v/>
      </c>
      <c r="AH531" s="12">
        <f>IF(A531="","",IF(COUNTIF($A$2:$A$1000,A531)&gt;1,"Duplicate Job ID",IF(AND(AG531&lt;&gt;100,AG531&lt;&gt;0),"Weights must total 100",IF(Z531-Y531&lt;7,"Closing date must be 7+ days after opening","OK"))))</f>
        <v/>
      </c>
    </row>
    <row r="532">
      <c r="Y532" s="13" t="n"/>
      <c r="Z532" s="13" t="n"/>
      <c r="AF532" s="13" t="n"/>
      <c r="AG532" s="12">
        <f>IF(A532="","",SUMIFS('Assessment Weights'!$D:$D,'Assessment Weights'!$A:$A,A532))</f>
        <v/>
      </c>
      <c r="AH532" s="12">
        <f>IF(A532="","",IF(COUNTIF($A$2:$A$1000,A532)&gt;1,"Duplicate Job ID",IF(AND(AG532&lt;&gt;100,AG532&lt;&gt;0),"Weights must total 100",IF(Z532-Y532&lt;7,"Closing date must be 7+ days after opening","OK"))))</f>
        <v/>
      </c>
    </row>
    <row r="533">
      <c r="Y533" s="13" t="n"/>
      <c r="Z533" s="13" t="n"/>
      <c r="AF533" s="13" t="n"/>
      <c r="AG533" s="12">
        <f>IF(A533="","",SUMIFS('Assessment Weights'!$D:$D,'Assessment Weights'!$A:$A,A533))</f>
        <v/>
      </c>
      <c r="AH533" s="12">
        <f>IF(A533="","",IF(COUNTIF($A$2:$A$1000,A533)&gt;1,"Duplicate Job ID",IF(AND(AG533&lt;&gt;100,AG533&lt;&gt;0),"Weights must total 100",IF(Z533-Y533&lt;7,"Closing date must be 7+ days after opening","OK"))))</f>
        <v/>
      </c>
    </row>
    <row r="534">
      <c r="Y534" s="13" t="n"/>
      <c r="Z534" s="13" t="n"/>
      <c r="AF534" s="13" t="n"/>
      <c r="AG534" s="12">
        <f>IF(A534="","",SUMIFS('Assessment Weights'!$D:$D,'Assessment Weights'!$A:$A,A534))</f>
        <v/>
      </c>
      <c r="AH534" s="12">
        <f>IF(A534="","",IF(COUNTIF($A$2:$A$1000,A534)&gt;1,"Duplicate Job ID",IF(AND(AG534&lt;&gt;100,AG534&lt;&gt;0),"Weights must total 100",IF(Z534-Y534&lt;7,"Closing date must be 7+ days after opening","OK"))))</f>
        <v/>
      </c>
    </row>
    <row r="535">
      <c r="Y535" s="13" t="n"/>
      <c r="Z535" s="13" t="n"/>
      <c r="AF535" s="13" t="n"/>
      <c r="AG535" s="12">
        <f>IF(A535="","",SUMIFS('Assessment Weights'!$D:$D,'Assessment Weights'!$A:$A,A535))</f>
        <v/>
      </c>
      <c r="AH535" s="12">
        <f>IF(A535="","",IF(COUNTIF($A$2:$A$1000,A535)&gt;1,"Duplicate Job ID",IF(AND(AG535&lt;&gt;100,AG535&lt;&gt;0),"Weights must total 100",IF(Z535-Y535&lt;7,"Closing date must be 7+ days after opening","OK"))))</f>
        <v/>
      </c>
    </row>
    <row r="536">
      <c r="Y536" s="13" t="n"/>
      <c r="Z536" s="13" t="n"/>
      <c r="AF536" s="13" t="n"/>
      <c r="AG536" s="12">
        <f>IF(A536="","",SUMIFS('Assessment Weights'!$D:$D,'Assessment Weights'!$A:$A,A536))</f>
        <v/>
      </c>
      <c r="AH536" s="12">
        <f>IF(A536="","",IF(COUNTIF($A$2:$A$1000,A536)&gt;1,"Duplicate Job ID",IF(AND(AG536&lt;&gt;100,AG536&lt;&gt;0),"Weights must total 100",IF(Z536-Y536&lt;7,"Closing date must be 7+ days after opening","OK"))))</f>
        <v/>
      </c>
    </row>
    <row r="537">
      <c r="Y537" s="13" t="n"/>
      <c r="Z537" s="13" t="n"/>
      <c r="AF537" s="13" t="n"/>
      <c r="AG537" s="12">
        <f>IF(A537="","",SUMIFS('Assessment Weights'!$D:$D,'Assessment Weights'!$A:$A,A537))</f>
        <v/>
      </c>
      <c r="AH537" s="12">
        <f>IF(A537="","",IF(COUNTIF($A$2:$A$1000,A537)&gt;1,"Duplicate Job ID",IF(AND(AG537&lt;&gt;100,AG537&lt;&gt;0),"Weights must total 100",IF(Z537-Y537&lt;7,"Closing date must be 7+ days after opening","OK"))))</f>
        <v/>
      </c>
    </row>
    <row r="538">
      <c r="Y538" s="13" t="n"/>
      <c r="Z538" s="13" t="n"/>
      <c r="AF538" s="13" t="n"/>
      <c r="AG538" s="12">
        <f>IF(A538="","",SUMIFS('Assessment Weights'!$D:$D,'Assessment Weights'!$A:$A,A538))</f>
        <v/>
      </c>
      <c r="AH538" s="12">
        <f>IF(A538="","",IF(COUNTIF($A$2:$A$1000,A538)&gt;1,"Duplicate Job ID",IF(AND(AG538&lt;&gt;100,AG538&lt;&gt;0),"Weights must total 100",IF(Z538-Y538&lt;7,"Closing date must be 7+ days after opening","OK"))))</f>
        <v/>
      </c>
    </row>
    <row r="539">
      <c r="Y539" s="13" t="n"/>
      <c r="Z539" s="13" t="n"/>
      <c r="AF539" s="13" t="n"/>
      <c r="AG539" s="12">
        <f>IF(A539="","",SUMIFS('Assessment Weights'!$D:$D,'Assessment Weights'!$A:$A,A539))</f>
        <v/>
      </c>
      <c r="AH539" s="12">
        <f>IF(A539="","",IF(COUNTIF($A$2:$A$1000,A539)&gt;1,"Duplicate Job ID",IF(AND(AG539&lt;&gt;100,AG539&lt;&gt;0),"Weights must total 100",IF(Z539-Y539&lt;7,"Closing date must be 7+ days after opening","OK"))))</f>
        <v/>
      </c>
    </row>
    <row r="540">
      <c r="Y540" s="13" t="n"/>
      <c r="Z540" s="13" t="n"/>
      <c r="AF540" s="13" t="n"/>
      <c r="AG540" s="12">
        <f>IF(A540="","",SUMIFS('Assessment Weights'!$D:$D,'Assessment Weights'!$A:$A,A540))</f>
        <v/>
      </c>
      <c r="AH540" s="12">
        <f>IF(A540="","",IF(COUNTIF($A$2:$A$1000,A540)&gt;1,"Duplicate Job ID",IF(AND(AG540&lt;&gt;100,AG540&lt;&gt;0),"Weights must total 100",IF(Z540-Y540&lt;7,"Closing date must be 7+ days after opening","OK"))))</f>
        <v/>
      </c>
    </row>
    <row r="541">
      <c r="Y541" s="13" t="n"/>
      <c r="Z541" s="13" t="n"/>
      <c r="AF541" s="13" t="n"/>
      <c r="AG541" s="12">
        <f>IF(A541="","",SUMIFS('Assessment Weights'!$D:$D,'Assessment Weights'!$A:$A,A541))</f>
        <v/>
      </c>
      <c r="AH541" s="12">
        <f>IF(A541="","",IF(COUNTIF($A$2:$A$1000,A541)&gt;1,"Duplicate Job ID",IF(AND(AG541&lt;&gt;100,AG541&lt;&gt;0),"Weights must total 100",IF(Z541-Y541&lt;7,"Closing date must be 7+ days after opening","OK"))))</f>
        <v/>
      </c>
    </row>
    <row r="542">
      <c r="Y542" s="13" t="n"/>
      <c r="Z542" s="13" t="n"/>
      <c r="AF542" s="13" t="n"/>
      <c r="AG542" s="12">
        <f>IF(A542="","",SUMIFS('Assessment Weights'!$D:$D,'Assessment Weights'!$A:$A,A542))</f>
        <v/>
      </c>
      <c r="AH542" s="12">
        <f>IF(A542="","",IF(COUNTIF($A$2:$A$1000,A542)&gt;1,"Duplicate Job ID",IF(AND(AG542&lt;&gt;100,AG542&lt;&gt;0),"Weights must total 100",IF(Z542-Y542&lt;7,"Closing date must be 7+ days after opening","OK"))))</f>
        <v/>
      </c>
    </row>
    <row r="543">
      <c r="Y543" s="13" t="n"/>
      <c r="Z543" s="13" t="n"/>
      <c r="AF543" s="13" t="n"/>
      <c r="AG543" s="12">
        <f>IF(A543="","",SUMIFS('Assessment Weights'!$D:$D,'Assessment Weights'!$A:$A,A543))</f>
        <v/>
      </c>
      <c r="AH543" s="12">
        <f>IF(A543="","",IF(COUNTIF($A$2:$A$1000,A543)&gt;1,"Duplicate Job ID",IF(AND(AG543&lt;&gt;100,AG543&lt;&gt;0),"Weights must total 100",IF(Z543-Y543&lt;7,"Closing date must be 7+ days after opening","OK"))))</f>
        <v/>
      </c>
    </row>
    <row r="544">
      <c r="Y544" s="13" t="n"/>
      <c r="Z544" s="13" t="n"/>
      <c r="AF544" s="13" t="n"/>
      <c r="AG544" s="12">
        <f>IF(A544="","",SUMIFS('Assessment Weights'!$D:$D,'Assessment Weights'!$A:$A,A544))</f>
        <v/>
      </c>
      <c r="AH544" s="12">
        <f>IF(A544="","",IF(COUNTIF($A$2:$A$1000,A544)&gt;1,"Duplicate Job ID",IF(AND(AG544&lt;&gt;100,AG544&lt;&gt;0),"Weights must total 100",IF(Z544-Y544&lt;7,"Closing date must be 7+ days after opening","OK"))))</f>
        <v/>
      </c>
    </row>
    <row r="545">
      <c r="Y545" s="13" t="n"/>
      <c r="Z545" s="13" t="n"/>
      <c r="AF545" s="13" t="n"/>
      <c r="AG545" s="12">
        <f>IF(A545="","",SUMIFS('Assessment Weights'!$D:$D,'Assessment Weights'!$A:$A,A545))</f>
        <v/>
      </c>
      <c r="AH545" s="12">
        <f>IF(A545="","",IF(COUNTIF($A$2:$A$1000,A545)&gt;1,"Duplicate Job ID",IF(AND(AG545&lt;&gt;100,AG545&lt;&gt;0),"Weights must total 100",IF(Z545-Y545&lt;7,"Closing date must be 7+ days after opening","OK"))))</f>
        <v/>
      </c>
    </row>
    <row r="546">
      <c r="Y546" s="13" t="n"/>
      <c r="Z546" s="13" t="n"/>
      <c r="AF546" s="13" t="n"/>
      <c r="AG546" s="12">
        <f>IF(A546="","",SUMIFS('Assessment Weights'!$D:$D,'Assessment Weights'!$A:$A,A546))</f>
        <v/>
      </c>
      <c r="AH546" s="12">
        <f>IF(A546="","",IF(COUNTIF($A$2:$A$1000,A546)&gt;1,"Duplicate Job ID",IF(AND(AG546&lt;&gt;100,AG546&lt;&gt;0),"Weights must total 100",IF(Z546-Y546&lt;7,"Closing date must be 7+ days after opening","OK"))))</f>
        <v/>
      </c>
    </row>
    <row r="547">
      <c r="Y547" s="13" t="n"/>
      <c r="Z547" s="13" t="n"/>
      <c r="AF547" s="13" t="n"/>
      <c r="AG547" s="12">
        <f>IF(A547="","",SUMIFS('Assessment Weights'!$D:$D,'Assessment Weights'!$A:$A,A547))</f>
        <v/>
      </c>
      <c r="AH547" s="12">
        <f>IF(A547="","",IF(COUNTIF($A$2:$A$1000,A547)&gt;1,"Duplicate Job ID",IF(AND(AG547&lt;&gt;100,AG547&lt;&gt;0),"Weights must total 100",IF(Z547-Y547&lt;7,"Closing date must be 7+ days after opening","OK"))))</f>
        <v/>
      </c>
    </row>
    <row r="548">
      <c r="Y548" s="13" t="n"/>
      <c r="Z548" s="13" t="n"/>
      <c r="AF548" s="13" t="n"/>
      <c r="AG548" s="12">
        <f>IF(A548="","",SUMIFS('Assessment Weights'!$D:$D,'Assessment Weights'!$A:$A,A548))</f>
        <v/>
      </c>
      <c r="AH548" s="12">
        <f>IF(A548="","",IF(COUNTIF($A$2:$A$1000,A548)&gt;1,"Duplicate Job ID",IF(AND(AG548&lt;&gt;100,AG548&lt;&gt;0),"Weights must total 100",IF(Z548-Y548&lt;7,"Closing date must be 7+ days after opening","OK"))))</f>
        <v/>
      </c>
    </row>
    <row r="549">
      <c r="Y549" s="13" t="n"/>
      <c r="Z549" s="13" t="n"/>
      <c r="AF549" s="13" t="n"/>
      <c r="AG549" s="12">
        <f>IF(A549="","",SUMIFS('Assessment Weights'!$D:$D,'Assessment Weights'!$A:$A,A549))</f>
        <v/>
      </c>
      <c r="AH549" s="12">
        <f>IF(A549="","",IF(COUNTIF($A$2:$A$1000,A549)&gt;1,"Duplicate Job ID",IF(AND(AG549&lt;&gt;100,AG549&lt;&gt;0),"Weights must total 100",IF(Z549-Y549&lt;7,"Closing date must be 7+ days after opening","OK"))))</f>
        <v/>
      </c>
    </row>
    <row r="550">
      <c r="Y550" s="13" t="n"/>
      <c r="Z550" s="13" t="n"/>
      <c r="AF550" s="13" t="n"/>
      <c r="AG550" s="12">
        <f>IF(A550="","",SUMIFS('Assessment Weights'!$D:$D,'Assessment Weights'!$A:$A,A550))</f>
        <v/>
      </c>
      <c r="AH550" s="12">
        <f>IF(A550="","",IF(COUNTIF($A$2:$A$1000,A550)&gt;1,"Duplicate Job ID",IF(AND(AG550&lt;&gt;100,AG550&lt;&gt;0),"Weights must total 100",IF(Z550-Y550&lt;7,"Closing date must be 7+ days after opening","OK"))))</f>
        <v/>
      </c>
    </row>
    <row r="551">
      <c r="Y551" s="13" t="n"/>
      <c r="Z551" s="13" t="n"/>
      <c r="AF551" s="13" t="n"/>
      <c r="AG551" s="12">
        <f>IF(A551="","",SUMIFS('Assessment Weights'!$D:$D,'Assessment Weights'!$A:$A,A551))</f>
        <v/>
      </c>
      <c r="AH551" s="12">
        <f>IF(A551="","",IF(COUNTIF($A$2:$A$1000,A551)&gt;1,"Duplicate Job ID",IF(AND(AG551&lt;&gt;100,AG551&lt;&gt;0),"Weights must total 100",IF(Z551-Y551&lt;7,"Closing date must be 7+ days after opening","OK"))))</f>
        <v/>
      </c>
    </row>
    <row r="552">
      <c r="Y552" s="13" t="n"/>
      <c r="Z552" s="13" t="n"/>
      <c r="AF552" s="13" t="n"/>
      <c r="AG552" s="12">
        <f>IF(A552="","",SUMIFS('Assessment Weights'!$D:$D,'Assessment Weights'!$A:$A,A552))</f>
        <v/>
      </c>
      <c r="AH552" s="12">
        <f>IF(A552="","",IF(COUNTIF($A$2:$A$1000,A552)&gt;1,"Duplicate Job ID",IF(AND(AG552&lt;&gt;100,AG552&lt;&gt;0),"Weights must total 100",IF(Z552-Y552&lt;7,"Closing date must be 7+ days after opening","OK"))))</f>
        <v/>
      </c>
    </row>
    <row r="553">
      <c r="Y553" s="13" t="n"/>
      <c r="Z553" s="13" t="n"/>
      <c r="AF553" s="13" t="n"/>
      <c r="AG553" s="12">
        <f>IF(A553="","",SUMIFS('Assessment Weights'!$D:$D,'Assessment Weights'!$A:$A,A553))</f>
        <v/>
      </c>
      <c r="AH553" s="12">
        <f>IF(A553="","",IF(COUNTIF($A$2:$A$1000,A553)&gt;1,"Duplicate Job ID",IF(AND(AG553&lt;&gt;100,AG553&lt;&gt;0),"Weights must total 100",IF(Z553-Y553&lt;7,"Closing date must be 7+ days after opening","OK"))))</f>
        <v/>
      </c>
    </row>
    <row r="554">
      <c r="Y554" s="13" t="n"/>
      <c r="Z554" s="13" t="n"/>
      <c r="AF554" s="13" t="n"/>
      <c r="AG554" s="12">
        <f>IF(A554="","",SUMIFS('Assessment Weights'!$D:$D,'Assessment Weights'!$A:$A,A554))</f>
        <v/>
      </c>
      <c r="AH554" s="12">
        <f>IF(A554="","",IF(COUNTIF($A$2:$A$1000,A554)&gt;1,"Duplicate Job ID",IF(AND(AG554&lt;&gt;100,AG554&lt;&gt;0),"Weights must total 100",IF(Z554-Y554&lt;7,"Closing date must be 7+ days after opening","OK"))))</f>
        <v/>
      </c>
    </row>
    <row r="555">
      <c r="Y555" s="13" t="n"/>
      <c r="Z555" s="13" t="n"/>
      <c r="AF555" s="13" t="n"/>
      <c r="AG555" s="12">
        <f>IF(A555="","",SUMIFS('Assessment Weights'!$D:$D,'Assessment Weights'!$A:$A,A555))</f>
        <v/>
      </c>
      <c r="AH555" s="12">
        <f>IF(A555="","",IF(COUNTIF($A$2:$A$1000,A555)&gt;1,"Duplicate Job ID",IF(AND(AG555&lt;&gt;100,AG555&lt;&gt;0),"Weights must total 100",IF(Z555-Y555&lt;7,"Closing date must be 7+ days after opening","OK"))))</f>
        <v/>
      </c>
    </row>
    <row r="556">
      <c r="Y556" s="13" t="n"/>
      <c r="Z556" s="13" t="n"/>
      <c r="AF556" s="13" t="n"/>
      <c r="AG556" s="12">
        <f>IF(A556="","",SUMIFS('Assessment Weights'!$D:$D,'Assessment Weights'!$A:$A,A556))</f>
        <v/>
      </c>
      <c r="AH556" s="12">
        <f>IF(A556="","",IF(COUNTIF($A$2:$A$1000,A556)&gt;1,"Duplicate Job ID",IF(AND(AG556&lt;&gt;100,AG556&lt;&gt;0),"Weights must total 100",IF(Z556-Y556&lt;7,"Closing date must be 7+ days after opening","OK"))))</f>
        <v/>
      </c>
    </row>
    <row r="557">
      <c r="Y557" s="13" t="n"/>
      <c r="Z557" s="13" t="n"/>
      <c r="AF557" s="13" t="n"/>
      <c r="AG557" s="12">
        <f>IF(A557="","",SUMIFS('Assessment Weights'!$D:$D,'Assessment Weights'!$A:$A,A557))</f>
        <v/>
      </c>
      <c r="AH557" s="12">
        <f>IF(A557="","",IF(COUNTIF($A$2:$A$1000,A557)&gt;1,"Duplicate Job ID",IF(AND(AG557&lt;&gt;100,AG557&lt;&gt;0),"Weights must total 100",IF(Z557-Y557&lt;7,"Closing date must be 7+ days after opening","OK"))))</f>
        <v/>
      </c>
    </row>
    <row r="558">
      <c r="Y558" s="13" t="n"/>
      <c r="Z558" s="13" t="n"/>
      <c r="AF558" s="13" t="n"/>
      <c r="AG558" s="12">
        <f>IF(A558="","",SUMIFS('Assessment Weights'!$D:$D,'Assessment Weights'!$A:$A,A558))</f>
        <v/>
      </c>
      <c r="AH558" s="12">
        <f>IF(A558="","",IF(COUNTIF($A$2:$A$1000,A558)&gt;1,"Duplicate Job ID",IF(AND(AG558&lt;&gt;100,AG558&lt;&gt;0),"Weights must total 100",IF(Z558-Y558&lt;7,"Closing date must be 7+ days after opening","OK"))))</f>
        <v/>
      </c>
    </row>
    <row r="559">
      <c r="Y559" s="13" t="n"/>
      <c r="Z559" s="13" t="n"/>
      <c r="AF559" s="13" t="n"/>
      <c r="AG559" s="12">
        <f>IF(A559="","",SUMIFS('Assessment Weights'!$D:$D,'Assessment Weights'!$A:$A,A559))</f>
        <v/>
      </c>
      <c r="AH559" s="12">
        <f>IF(A559="","",IF(COUNTIF($A$2:$A$1000,A559)&gt;1,"Duplicate Job ID",IF(AND(AG559&lt;&gt;100,AG559&lt;&gt;0),"Weights must total 100",IF(Z559-Y559&lt;7,"Closing date must be 7+ days after opening","OK"))))</f>
        <v/>
      </c>
    </row>
    <row r="560">
      <c r="Y560" s="13" t="n"/>
      <c r="Z560" s="13" t="n"/>
      <c r="AF560" s="13" t="n"/>
      <c r="AG560" s="12">
        <f>IF(A560="","",SUMIFS('Assessment Weights'!$D:$D,'Assessment Weights'!$A:$A,A560))</f>
        <v/>
      </c>
      <c r="AH560" s="12">
        <f>IF(A560="","",IF(COUNTIF($A$2:$A$1000,A560)&gt;1,"Duplicate Job ID",IF(AND(AG560&lt;&gt;100,AG560&lt;&gt;0),"Weights must total 100",IF(Z560-Y560&lt;7,"Closing date must be 7+ days after opening","OK"))))</f>
        <v/>
      </c>
    </row>
    <row r="561">
      <c r="Y561" s="13" t="n"/>
      <c r="Z561" s="13" t="n"/>
      <c r="AF561" s="13" t="n"/>
      <c r="AG561" s="12">
        <f>IF(A561="","",SUMIFS('Assessment Weights'!$D:$D,'Assessment Weights'!$A:$A,A561))</f>
        <v/>
      </c>
      <c r="AH561" s="12">
        <f>IF(A561="","",IF(COUNTIF($A$2:$A$1000,A561)&gt;1,"Duplicate Job ID",IF(AND(AG561&lt;&gt;100,AG561&lt;&gt;0),"Weights must total 100",IF(Z561-Y561&lt;7,"Closing date must be 7+ days after opening","OK"))))</f>
        <v/>
      </c>
    </row>
    <row r="562">
      <c r="Y562" s="13" t="n"/>
      <c r="Z562" s="13" t="n"/>
      <c r="AF562" s="13" t="n"/>
      <c r="AG562" s="12">
        <f>IF(A562="","",SUMIFS('Assessment Weights'!$D:$D,'Assessment Weights'!$A:$A,A562))</f>
        <v/>
      </c>
      <c r="AH562" s="12">
        <f>IF(A562="","",IF(COUNTIF($A$2:$A$1000,A562)&gt;1,"Duplicate Job ID",IF(AND(AG562&lt;&gt;100,AG562&lt;&gt;0),"Weights must total 100",IF(Z562-Y562&lt;7,"Closing date must be 7+ days after opening","OK"))))</f>
        <v/>
      </c>
    </row>
    <row r="563">
      <c r="Y563" s="13" t="n"/>
      <c r="Z563" s="13" t="n"/>
      <c r="AF563" s="13" t="n"/>
      <c r="AG563" s="12">
        <f>IF(A563="","",SUMIFS('Assessment Weights'!$D:$D,'Assessment Weights'!$A:$A,A563))</f>
        <v/>
      </c>
      <c r="AH563" s="12">
        <f>IF(A563="","",IF(COUNTIF($A$2:$A$1000,A563)&gt;1,"Duplicate Job ID",IF(AND(AG563&lt;&gt;100,AG563&lt;&gt;0),"Weights must total 100",IF(Z563-Y563&lt;7,"Closing date must be 7+ days after opening","OK"))))</f>
        <v/>
      </c>
    </row>
    <row r="564">
      <c r="Y564" s="13" t="n"/>
      <c r="Z564" s="13" t="n"/>
      <c r="AF564" s="13" t="n"/>
      <c r="AG564" s="12">
        <f>IF(A564="","",SUMIFS('Assessment Weights'!$D:$D,'Assessment Weights'!$A:$A,A564))</f>
        <v/>
      </c>
      <c r="AH564" s="12">
        <f>IF(A564="","",IF(COUNTIF($A$2:$A$1000,A564)&gt;1,"Duplicate Job ID",IF(AND(AG564&lt;&gt;100,AG564&lt;&gt;0),"Weights must total 100",IF(Z564-Y564&lt;7,"Closing date must be 7+ days after opening","OK"))))</f>
        <v/>
      </c>
    </row>
    <row r="565">
      <c r="Y565" s="13" t="n"/>
      <c r="Z565" s="13" t="n"/>
      <c r="AF565" s="13" t="n"/>
      <c r="AG565" s="12">
        <f>IF(A565="","",SUMIFS('Assessment Weights'!$D:$D,'Assessment Weights'!$A:$A,A565))</f>
        <v/>
      </c>
      <c r="AH565" s="12">
        <f>IF(A565="","",IF(COUNTIF($A$2:$A$1000,A565)&gt;1,"Duplicate Job ID",IF(AND(AG565&lt;&gt;100,AG565&lt;&gt;0),"Weights must total 100",IF(Z565-Y565&lt;7,"Closing date must be 7+ days after opening","OK"))))</f>
        <v/>
      </c>
    </row>
    <row r="566">
      <c r="Y566" s="13" t="n"/>
      <c r="Z566" s="13" t="n"/>
      <c r="AF566" s="13" t="n"/>
      <c r="AG566" s="12">
        <f>IF(A566="","",SUMIFS('Assessment Weights'!$D:$D,'Assessment Weights'!$A:$A,A566))</f>
        <v/>
      </c>
      <c r="AH566" s="12">
        <f>IF(A566="","",IF(COUNTIF($A$2:$A$1000,A566)&gt;1,"Duplicate Job ID",IF(AND(AG566&lt;&gt;100,AG566&lt;&gt;0),"Weights must total 100",IF(Z566-Y566&lt;7,"Closing date must be 7+ days after opening","OK"))))</f>
        <v/>
      </c>
    </row>
    <row r="567">
      <c r="Y567" s="13" t="n"/>
      <c r="Z567" s="13" t="n"/>
      <c r="AF567" s="13" t="n"/>
      <c r="AG567" s="12">
        <f>IF(A567="","",SUMIFS('Assessment Weights'!$D:$D,'Assessment Weights'!$A:$A,A567))</f>
        <v/>
      </c>
      <c r="AH567" s="12">
        <f>IF(A567="","",IF(COUNTIF($A$2:$A$1000,A567)&gt;1,"Duplicate Job ID",IF(AND(AG567&lt;&gt;100,AG567&lt;&gt;0),"Weights must total 100",IF(Z567-Y567&lt;7,"Closing date must be 7+ days after opening","OK"))))</f>
        <v/>
      </c>
    </row>
    <row r="568">
      <c r="Y568" s="13" t="n"/>
      <c r="Z568" s="13" t="n"/>
      <c r="AF568" s="13" t="n"/>
      <c r="AG568" s="12">
        <f>IF(A568="","",SUMIFS('Assessment Weights'!$D:$D,'Assessment Weights'!$A:$A,A568))</f>
        <v/>
      </c>
      <c r="AH568" s="12">
        <f>IF(A568="","",IF(COUNTIF($A$2:$A$1000,A568)&gt;1,"Duplicate Job ID",IF(AND(AG568&lt;&gt;100,AG568&lt;&gt;0),"Weights must total 100",IF(Z568-Y568&lt;7,"Closing date must be 7+ days after opening","OK"))))</f>
        <v/>
      </c>
    </row>
    <row r="569">
      <c r="Y569" s="13" t="n"/>
      <c r="Z569" s="13" t="n"/>
      <c r="AF569" s="13" t="n"/>
      <c r="AG569" s="12">
        <f>IF(A569="","",SUMIFS('Assessment Weights'!$D:$D,'Assessment Weights'!$A:$A,A569))</f>
        <v/>
      </c>
      <c r="AH569" s="12">
        <f>IF(A569="","",IF(COUNTIF($A$2:$A$1000,A569)&gt;1,"Duplicate Job ID",IF(AND(AG569&lt;&gt;100,AG569&lt;&gt;0),"Weights must total 100",IF(Z569-Y569&lt;7,"Closing date must be 7+ days after opening","OK"))))</f>
        <v/>
      </c>
    </row>
    <row r="570">
      <c r="Y570" s="13" t="n"/>
      <c r="Z570" s="13" t="n"/>
      <c r="AF570" s="13" t="n"/>
      <c r="AG570" s="12">
        <f>IF(A570="","",SUMIFS('Assessment Weights'!$D:$D,'Assessment Weights'!$A:$A,A570))</f>
        <v/>
      </c>
      <c r="AH570" s="12">
        <f>IF(A570="","",IF(COUNTIF($A$2:$A$1000,A570)&gt;1,"Duplicate Job ID",IF(AND(AG570&lt;&gt;100,AG570&lt;&gt;0),"Weights must total 100",IF(Z570-Y570&lt;7,"Closing date must be 7+ days after opening","OK"))))</f>
        <v/>
      </c>
    </row>
    <row r="571">
      <c r="Y571" s="13" t="n"/>
      <c r="Z571" s="13" t="n"/>
      <c r="AF571" s="13" t="n"/>
      <c r="AG571" s="12">
        <f>IF(A571="","",SUMIFS('Assessment Weights'!$D:$D,'Assessment Weights'!$A:$A,A571))</f>
        <v/>
      </c>
      <c r="AH571" s="12">
        <f>IF(A571="","",IF(COUNTIF($A$2:$A$1000,A571)&gt;1,"Duplicate Job ID",IF(AND(AG571&lt;&gt;100,AG571&lt;&gt;0),"Weights must total 100",IF(Z571-Y571&lt;7,"Closing date must be 7+ days after opening","OK"))))</f>
        <v/>
      </c>
    </row>
    <row r="572">
      <c r="Y572" s="13" t="n"/>
      <c r="Z572" s="13" t="n"/>
      <c r="AF572" s="13" t="n"/>
      <c r="AG572" s="12">
        <f>IF(A572="","",SUMIFS('Assessment Weights'!$D:$D,'Assessment Weights'!$A:$A,A572))</f>
        <v/>
      </c>
      <c r="AH572" s="12">
        <f>IF(A572="","",IF(COUNTIF($A$2:$A$1000,A572)&gt;1,"Duplicate Job ID",IF(AND(AG572&lt;&gt;100,AG572&lt;&gt;0),"Weights must total 100",IF(Z572-Y572&lt;7,"Closing date must be 7+ days after opening","OK"))))</f>
        <v/>
      </c>
    </row>
    <row r="573">
      <c r="Y573" s="13" t="n"/>
      <c r="Z573" s="13" t="n"/>
      <c r="AF573" s="13" t="n"/>
      <c r="AG573" s="12">
        <f>IF(A573="","",SUMIFS('Assessment Weights'!$D:$D,'Assessment Weights'!$A:$A,A573))</f>
        <v/>
      </c>
      <c r="AH573" s="12">
        <f>IF(A573="","",IF(COUNTIF($A$2:$A$1000,A573)&gt;1,"Duplicate Job ID",IF(AND(AG573&lt;&gt;100,AG573&lt;&gt;0),"Weights must total 100",IF(Z573-Y573&lt;7,"Closing date must be 7+ days after opening","OK"))))</f>
        <v/>
      </c>
    </row>
    <row r="574">
      <c r="Y574" s="13" t="n"/>
      <c r="Z574" s="13" t="n"/>
      <c r="AF574" s="13" t="n"/>
      <c r="AG574" s="12">
        <f>IF(A574="","",SUMIFS('Assessment Weights'!$D:$D,'Assessment Weights'!$A:$A,A574))</f>
        <v/>
      </c>
      <c r="AH574" s="12">
        <f>IF(A574="","",IF(COUNTIF($A$2:$A$1000,A574)&gt;1,"Duplicate Job ID",IF(AND(AG574&lt;&gt;100,AG574&lt;&gt;0),"Weights must total 100",IF(Z574-Y574&lt;7,"Closing date must be 7+ days after opening","OK"))))</f>
        <v/>
      </c>
    </row>
    <row r="575">
      <c r="Y575" s="13" t="n"/>
      <c r="Z575" s="13" t="n"/>
      <c r="AF575" s="13" t="n"/>
      <c r="AG575" s="12">
        <f>IF(A575="","",SUMIFS('Assessment Weights'!$D:$D,'Assessment Weights'!$A:$A,A575))</f>
        <v/>
      </c>
      <c r="AH575" s="12">
        <f>IF(A575="","",IF(COUNTIF($A$2:$A$1000,A575)&gt;1,"Duplicate Job ID",IF(AND(AG575&lt;&gt;100,AG575&lt;&gt;0),"Weights must total 100",IF(Z575-Y575&lt;7,"Closing date must be 7+ days after opening","OK"))))</f>
        <v/>
      </c>
    </row>
    <row r="576">
      <c r="Y576" s="13" t="n"/>
      <c r="Z576" s="13" t="n"/>
      <c r="AF576" s="13" t="n"/>
      <c r="AG576" s="12">
        <f>IF(A576="","",SUMIFS('Assessment Weights'!$D:$D,'Assessment Weights'!$A:$A,A576))</f>
        <v/>
      </c>
      <c r="AH576" s="12">
        <f>IF(A576="","",IF(COUNTIF($A$2:$A$1000,A576)&gt;1,"Duplicate Job ID",IF(AND(AG576&lt;&gt;100,AG576&lt;&gt;0),"Weights must total 100",IF(Z576-Y576&lt;7,"Closing date must be 7+ days after opening","OK"))))</f>
        <v/>
      </c>
    </row>
    <row r="577">
      <c r="Y577" s="13" t="n"/>
      <c r="Z577" s="13" t="n"/>
      <c r="AF577" s="13" t="n"/>
      <c r="AG577" s="12">
        <f>IF(A577="","",SUMIFS('Assessment Weights'!$D:$D,'Assessment Weights'!$A:$A,A577))</f>
        <v/>
      </c>
      <c r="AH577" s="12">
        <f>IF(A577="","",IF(COUNTIF($A$2:$A$1000,A577)&gt;1,"Duplicate Job ID",IF(AND(AG577&lt;&gt;100,AG577&lt;&gt;0),"Weights must total 100",IF(Z577-Y577&lt;7,"Closing date must be 7+ days after opening","OK"))))</f>
        <v/>
      </c>
    </row>
    <row r="578">
      <c r="Y578" s="13" t="n"/>
      <c r="Z578" s="13" t="n"/>
      <c r="AF578" s="13" t="n"/>
      <c r="AG578" s="12">
        <f>IF(A578="","",SUMIFS('Assessment Weights'!$D:$D,'Assessment Weights'!$A:$A,A578))</f>
        <v/>
      </c>
      <c r="AH578" s="12">
        <f>IF(A578="","",IF(COUNTIF($A$2:$A$1000,A578)&gt;1,"Duplicate Job ID",IF(AND(AG578&lt;&gt;100,AG578&lt;&gt;0),"Weights must total 100",IF(Z578-Y578&lt;7,"Closing date must be 7+ days after opening","OK"))))</f>
        <v/>
      </c>
    </row>
    <row r="579">
      <c r="Y579" s="13" t="n"/>
      <c r="Z579" s="13" t="n"/>
      <c r="AF579" s="13" t="n"/>
      <c r="AG579" s="12">
        <f>IF(A579="","",SUMIFS('Assessment Weights'!$D:$D,'Assessment Weights'!$A:$A,A579))</f>
        <v/>
      </c>
      <c r="AH579" s="12">
        <f>IF(A579="","",IF(COUNTIF($A$2:$A$1000,A579)&gt;1,"Duplicate Job ID",IF(AND(AG579&lt;&gt;100,AG579&lt;&gt;0),"Weights must total 100",IF(Z579-Y579&lt;7,"Closing date must be 7+ days after opening","OK"))))</f>
        <v/>
      </c>
    </row>
    <row r="580">
      <c r="Y580" s="13" t="n"/>
      <c r="Z580" s="13" t="n"/>
      <c r="AF580" s="13" t="n"/>
      <c r="AG580" s="12">
        <f>IF(A580="","",SUMIFS('Assessment Weights'!$D:$D,'Assessment Weights'!$A:$A,A580))</f>
        <v/>
      </c>
      <c r="AH580" s="12">
        <f>IF(A580="","",IF(COUNTIF($A$2:$A$1000,A580)&gt;1,"Duplicate Job ID",IF(AND(AG580&lt;&gt;100,AG580&lt;&gt;0),"Weights must total 100",IF(Z580-Y580&lt;7,"Closing date must be 7+ days after opening","OK"))))</f>
        <v/>
      </c>
    </row>
    <row r="581">
      <c r="Y581" s="13" t="n"/>
      <c r="Z581" s="13" t="n"/>
      <c r="AF581" s="13" t="n"/>
      <c r="AG581" s="12">
        <f>IF(A581="","",SUMIFS('Assessment Weights'!$D:$D,'Assessment Weights'!$A:$A,A581))</f>
        <v/>
      </c>
      <c r="AH581" s="12">
        <f>IF(A581="","",IF(COUNTIF($A$2:$A$1000,A581)&gt;1,"Duplicate Job ID",IF(AND(AG581&lt;&gt;100,AG581&lt;&gt;0),"Weights must total 100",IF(Z581-Y581&lt;7,"Closing date must be 7+ days after opening","OK"))))</f>
        <v/>
      </c>
    </row>
    <row r="582">
      <c r="Y582" s="13" t="n"/>
      <c r="Z582" s="13" t="n"/>
      <c r="AF582" s="13" t="n"/>
      <c r="AG582" s="12">
        <f>IF(A582="","",SUMIFS('Assessment Weights'!$D:$D,'Assessment Weights'!$A:$A,A582))</f>
        <v/>
      </c>
      <c r="AH582" s="12">
        <f>IF(A582="","",IF(COUNTIF($A$2:$A$1000,A582)&gt;1,"Duplicate Job ID",IF(AND(AG582&lt;&gt;100,AG582&lt;&gt;0),"Weights must total 100",IF(Z582-Y582&lt;7,"Closing date must be 7+ days after opening","OK"))))</f>
        <v/>
      </c>
    </row>
    <row r="583">
      <c r="Y583" s="13" t="n"/>
      <c r="Z583" s="13" t="n"/>
      <c r="AF583" s="13" t="n"/>
      <c r="AG583" s="12">
        <f>IF(A583="","",SUMIFS('Assessment Weights'!$D:$D,'Assessment Weights'!$A:$A,A583))</f>
        <v/>
      </c>
      <c r="AH583" s="12">
        <f>IF(A583="","",IF(COUNTIF($A$2:$A$1000,A583)&gt;1,"Duplicate Job ID",IF(AND(AG583&lt;&gt;100,AG583&lt;&gt;0),"Weights must total 100",IF(Z583-Y583&lt;7,"Closing date must be 7+ days after opening","OK"))))</f>
        <v/>
      </c>
    </row>
    <row r="584">
      <c r="Y584" s="13" t="n"/>
      <c r="Z584" s="13" t="n"/>
      <c r="AF584" s="13" t="n"/>
      <c r="AG584" s="12">
        <f>IF(A584="","",SUMIFS('Assessment Weights'!$D:$D,'Assessment Weights'!$A:$A,A584))</f>
        <v/>
      </c>
      <c r="AH584" s="12">
        <f>IF(A584="","",IF(COUNTIF($A$2:$A$1000,A584)&gt;1,"Duplicate Job ID",IF(AND(AG584&lt;&gt;100,AG584&lt;&gt;0),"Weights must total 100",IF(Z584-Y584&lt;7,"Closing date must be 7+ days after opening","OK"))))</f>
        <v/>
      </c>
    </row>
    <row r="585">
      <c r="Y585" s="13" t="n"/>
      <c r="Z585" s="13" t="n"/>
      <c r="AF585" s="13" t="n"/>
      <c r="AG585" s="12">
        <f>IF(A585="","",SUMIFS('Assessment Weights'!$D:$D,'Assessment Weights'!$A:$A,A585))</f>
        <v/>
      </c>
      <c r="AH585" s="12">
        <f>IF(A585="","",IF(COUNTIF($A$2:$A$1000,A585)&gt;1,"Duplicate Job ID",IF(AND(AG585&lt;&gt;100,AG585&lt;&gt;0),"Weights must total 100",IF(Z585-Y585&lt;7,"Closing date must be 7+ days after opening","OK"))))</f>
        <v/>
      </c>
    </row>
    <row r="586">
      <c r="Y586" s="13" t="n"/>
      <c r="Z586" s="13" t="n"/>
      <c r="AF586" s="13" t="n"/>
      <c r="AG586" s="12">
        <f>IF(A586="","",SUMIFS('Assessment Weights'!$D:$D,'Assessment Weights'!$A:$A,A586))</f>
        <v/>
      </c>
      <c r="AH586" s="12">
        <f>IF(A586="","",IF(COUNTIF($A$2:$A$1000,A586)&gt;1,"Duplicate Job ID",IF(AND(AG586&lt;&gt;100,AG586&lt;&gt;0),"Weights must total 100",IF(Z586-Y586&lt;7,"Closing date must be 7+ days after opening","OK"))))</f>
        <v/>
      </c>
    </row>
    <row r="587">
      <c r="Y587" s="13" t="n"/>
      <c r="Z587" s="13" t="n"/>
      <c r="AF587" s="13" t="n"/>
      <c r="AG587" s="12">
        <f>IF(A587="","",SUMIFS('Assessment Weights'!$D:$D,'Assessment Weights'!$A:$A,A587))</f>
        <v/>
      </c>
      <c r="AH587" s="12">
        <f>IF(A587="","",IF(COUNTIF($A$2:$A$1000,A587)&gt;1,"Duplicate Job ID",IF(AND(AG587&lt;&gt;100,AG587&lt;&gt;0),"Weights must total 100",IF(Z587-Y587&lt;7,"Closing date must be 7+ days after opening","OK"))))</f>
        <v/>
      </c>
    </row>
    <row r="588">
      <c r="Y588" s="13" t="n"/>
      <c r="Z588" s="13" t="n"/>
      <c r="AF588" s="13" t="n"/>
      <c r="AG588" s="12">
        <f>IF(A588="","",SUMIFS('Assessment Weights'!$D:$D,'Assessment Weights'!$A:$A,A588))</f>
        <v/>
      </c>
      <c r="AH588" s="12">
        <f>IF(A588="","",IF(COUNTIF($A$2:$A$1000,A588)&gt;1,"Duplicate Job ID",IF(AND(AG588&lt;&gt;100,AG588&lt;&gt;0),"Weights must total 100",IF(Z588-Y588&lt;7,"Closing date must be 7+ days after opening","OK"))))</f>
        <v/>
      </c>
    </row>
    <row r="589">
      <c r="Y589" s="13" t="n"/>
      <c r="Z589" s="13" t="n"/>
      <c r="AF589" s="13" t="n"/>
      <c r="AG589" s="12">
        <f>IF(A589="","",SUMIFS('Assessment Weights'!$D:$D,'Assessment Weights'!$A:$A,A589))</f>
        <v/>
      </c>
      <c r="AH589" s="12">
        <f>IF(A589="","",IF(COUNTIF($A$2:$A$1000,A589)&gt;1,"Duplicate Job ID",IF(AND(AG589&lt;&gt;100,AG589&lt;&gt;0),"Weights must total 100",IF(Z589-Y589&lt;7,"Closing date must be 7+ days after opening","OK"))))</f>
        <v/>
      </c>
    </row>
    <row r="590">
      <c r="Y590" s="13" t="n"/>
      <c r="Z590" s="13" t="n"/>
      <c r="AF590" s="13" t="n"/>
      <c r="AG590" s="12">
        <f>IF(A590="","",SUMIFS('Assessment Weights'!$D:$D,'Assessment Weights'!$A:$A,A590))</f>
        <v/>
      </c>
      <c r="AH590" s="12">
        <f>IF(A590="","",IF(COUNTIF($A$2:$A$1000,A590)&gt;1,"Duplicate Job ID",IF(AND(AG590&lt;&gt;100,AG590&lt;&gt;0),"Weights must total 100",IF(Z590-Y590&lt;7,"Closing date must be 7+ days after opening","OK"))))</f>
        <v/>
      </c>
    </row>
    <row r="591">
      <c r="Y591" s="13" t="n"/>
      <c r="Z591" s="13" t="n"/>
      <c r="AF591" s="13" t="n"/>
      <c r="AG591" s="12">
        <f>IF(A591="","",SUMIFS('Assessment Weights'!$D:$D,'Assessment Weights'!$A:$A,A591))</f>
        <v/>
      </c>
      <c r="AH591" s="12">
        <f>IF(A591="","",IF(COUNTIF($A$2:$A$1000,A591)&gt;1,"Duplicate Job ID",IF(AND(AG591&lt;&gt;100,AG591&lt;&gt;0),"Weights must total 100",IF(Z591-Y591&lt;7,"Closing date must be 7+ days after opening","OK"))))</f>
        <v/>
      </c>
    </row>
    <row r="592">
      <c r="Y592" s="13" t="n"/>
      <c r="Z592" s="13" t="n"/>
      <c r="AF592" s="13" t="n"/>
      <c r="AG592" s="12">
        <f>IF(A592="","",SUMIFS('Assessment Weights'!$D:$D,'Assessment Weights'!$A:$A,A592))</f>
        <v/>
      </c>
      <c r="AH592" s="12">
        <f>IF(A592="","",IF(COUNTIF($A$2:$A$1000,A592)&gt;1,"Duplicate Job ID",IF(AND(AG592&lt;&gt;100,AG592&lt;&gt;0),"Weights must total 100",IF(Z592-Y592&lt;7,"Closing date must be 7+ days after opening","OK"))))</f>
        <v/>
      </c>
    </row>
    <row r="593">
      <c r="Y593" s="13" t="n"/>
      <c r="Z593" s="13" t="n"/>
      <c r="AF593" s="13" t="n"/>
      <c r="AG593" s="12">
        <f>IF(A593="","",SUMIFS('Assessment Weights'!$D:$D,'Assessment Weights'!$A:$A,A593))</f>
        <v/>
      </c>
      <c r="AH593" s="12">
        <f>IF(A593="","",IF(COUNTIF($A$2:$A$1000,A593)&gt;1,"Duplicate Job ID",IF(AND(AG593&lt;&gt;100,AG593&lt;&gt;0),"Weights must total 100",IF(Z593-Y593&lt;7,"Closing date must be 7+ days after opening","OK"))))</f>
        <v/>
      </c>
    </row>
    <row r="594">
      <c r="Y594" s="13" t="n"/>
      <c r="Z594" s="13" t="n"/>
      <c r="AF594" s="13" t="n"/>
      <c r="AG594" s="12">
        <f>IF(A594="","",SUMIFS('Assessment Weights'!$D:$D,'Assessment Weights'!$A:$A,A594))</f>
        <v/>
      </c>
      <c r="AH594" s="12">
        <f>IF(A594="","",IF(COUNTIF($A$2:$A$1000,A594)&gt;1,"Duplicate Job ID",IF(AND(AG594&lt;&gt;100,AG594&lt;&gt;0),"Weights must total 100",IF(Z594-Y594&lt;7,"Closing date must be 7+ days after opening","OK"))))</f>
        <v/>
      </c>
    </row>
    <row r="595">
      <c r="Y595" s="13" t="n"/>
      <c r="Z595" s="13" t="n"/>
      <c r="AF595" s="13" t="n"/>
      <c r="AG595" s="12">
        <f>IF(A595="","",SUMIFS('Assessment Weights'!$D:$D,'Assessment Weights'!$A:$A,A595))</f>
        <v/>
      </c>
      <c r="AH595" s="12">
        <f>IF(A595="","",IF(COUNTIF($A$2:$A$1000,A595)&gt;1,"Duplicate Job ID",IF(AND(AG595&lt;&gt;100,AG595&lt;&gt;0),"Weights must total 100",IF(Z595-Y595&lt;7,"Closing date must be 7+ days after opening","OK"))))</f>
        <v/>
      </c>
    </row>
    <row r="596">
      <c r="Y596" s="13" t="n"/>
      <c r="Z596" s="13" t="n"/>
      <c r="AF596" s="13" t="n"/>
      <c r="AG596" s="12">
        <f>IF(A596="","",SUMIFS('Assessment Weights'!$D:$D,'Assessment Weights'!$A:$A,A596))</f>
        <v/>
      </c>
      <c r="AH596" s="12">
        <f>IF(A596="","",IF(COUNTIF($A$2:$A$1000,A596)&gt;1,"Duplicate Job ID",IF(AND(AG596&lt;&gt;100,AG596&lt;&gt;0),"Weights must total 100",IF(Z596-Y596&lt;7,"Closing date must be 7+ days after opening","OK"))))</f>
        <v/>
      </c>
    </row>
    <row r="597">
      <c r="Y597" s="13" t="n"/>
      <c r="Z597" s="13" t="n"/>
      <c r="AF597" s="13" t="n"/>
      <c r="AG597" s="12">
        <f>IF(A597="","",SUMIFS('Assessment Weights'!$D:$D,'Assessment Weights'!$A:$A,A597))</f>
        <v/>
      </c>
      <c r="AH597" s="12">
        <f>IF(A597="","",IF(COUNTIF($A$2:$A$1000,A597)&gt;1,"Duplicate Job ID",IF(AND(AG597&lt;&gt;100,AG597&lt;&gt;0),"Weights must total 100",IF(Z597-Y597&lt;7,"Closing date must be 7+ days after opening","OK"))))</f>
        <v/>
      </c>
    </row>
    <row r="598">
      <c r="Y598" s="13" t="n"/>
      <c r="Z598" s="13" t="n"/>
      <c r="AF598" s="13" t="n"/>
      <c r="AG598" s="12">
        <f>IF(A598="","",SUMIFS('Assessment Weights'!$D:$D,'Assessment Weights'!$A:$A,A598))</f>
        <v/>
      </c>
      <c r="AH598" s="12">
        <f>IF(A598="","",IF(COUNTIF($A$2:$A$1000,A598)&gt;1,"Duplicate Job ID",IF(AND(AG598&lt;&gt;100,AG598&lt;&gt;0),"Weights must total 100",IF(Z598-Y598&lt;7,"Closing date must be 7+ days after opening","OK"))))</f>
        <v/>
      </c>
    </row>
    <row r="599">
      <c r="Y599" s="13" t="n"/>
      <c r="Z599" s="13" t="n"/>
      <c r="AF599" s="13" t="n"/>
      <c r="AG599" s="12">
        <f>IF(A599="","",SUMIFS('Assessment Weights'!$D:$D,'Assessment Weights'!$A:$A,A599))</f>
        <v/>
      </c>
      <c r="AH599" s="12">
        <f>IF(A599="","",IF(COUNTIF($A$2:$A$1000,A599)&gt;1,"Duplicate Job ID",IF(AND(AG599&lt;&gt;100,AG599&lt;&gt;0),"Weights must total 100",IF(Z599-Y599&lt;7,"Closing date must be 7+ days after opening","OK"))))</f>
        <v/>
      </c>
    </row>
    <row r="600">
      <c r="Y600" s="13" t="n"/>
      <c r="Z600" s="13" t="n"/>
      <c r="AF600" s="13" t="n"/>
      <c r="AG600" s="12">
        <f>IF(A600="","",SUMIFS('Assessment Weights'!$D:$D,'Assessment Weights'!$A:$A,A600))</f>
        <v/>
      </c>
      <c r="AH600" s="12">
        <f>IF(A600="","",IF(COUNTIF($A$2:$A$1000,A600)&gt;1,"Duplicate Job ID",IF(AND(AG600&lt;&gt;100,AG600&lt;&gt;0),"Weights must total 100",IF(Z600-Y600&lt;7,"Closing date must be 7+ days after opening","OK"))))</f>
        <v/>
      </c>
    </row>
    <row r="601">
      <c r="Y601" s="13" t="n"/>
      <c r="Z601" s="13" t="n"/>
      <c r="AF601" s="13" t="n"/>
      <c r="AG601" s="12">
        <f>IF(A601="","",SUMIFS('Assessment Weights'!$D:$D,'Assessment Weights'!$A:$A,A601))</f>
        <v/>
      </c>
      <c r="AH601" s="12">
        <f>IF(A601="","",IF(COUNTIF($A$2:$A$1000,A601)&gt;1,"Duplicate Job ID",IF(AND(AG601&lt;&gt;100,AG601&lt;&gt;0),"Weights must total 100",IF(Z601-Y601&lt;7,"Closing date must be 7+ days after opening","OK"))))</f>
        <v/>
      </c>
    </row>
    <row r="602">
      <c r="Y602" s="13" t="n"/>
      <c r="Z602" s="13" t="n"/>
      <c r="AF602" s="13" t="n"/>
      <c r="AG602" s="12">
        <f>IF(A602="","",SUMIFS('Assessment Weights'!$D:$D,'Assessment Weights'!$A:$A,A602))</f>
        <v/>
      </c>
      <c r="AH602" s="12">
        <f>IF(A602="","",IF(COUNTIF($A$2:$A$1000,A602)&gt;1,"Duplicate Job ID",IF(AND(AG602&lt;&gt;100,AG602&lt;&gt;0),"Weights must total 100",IF(Z602-Y602&lt;7,"Closing date must be 7+ days after opening","OK"))))</f>
        <v/>
      </c>
    </row>
    <row r="603">
      <c r="Y603" s="13" t="n"/>
      <c r="Z603" s="13" t="n"/>
      <c r="AF603" s="13" t="n"/>
      <c r="AG603" s="12">
        <f>IF(A603="","",SUMIFS('Assessment Weights'!$D:$D,'Assessment Weights'!$A:$A,A603))</f>
        <v/>
      </c>
      <c r="AH603" s="12">
        <f>IF(A603="","",IF(COUNTIF($A$2:$A$1000,A603)&gt;1,"Duplicate Job ID",IF(AND(AG603&lt;&gt;100,AG603&lt;&gt;0),"Weights must total 100",IF(Z603-Y603&lt;7,"Closing date must be 7+ days after opening","OK"))))</f>
        <v/>
      </c>
    </row>
    <row r="604">
      <c r="Y604" s="13" t="n"/>
      <c r="Z604" s="13" t="n"/>
      <c r="AF604" s="13" t="n"/>
      <c r="AG604" s="12">
        <f>IF(A604="","",SUMIFS('Assessment Weights'!$D:$D,'Assessment Weights'!$A:$A,A604))</f>
        <v/>
      </c>
      <c r="AH604" s="12">
        <f>IF(A604="","",IF(COUNTIF($A$2:$A$1000,A604)&gt;1,"Duplicate Job ID",IF(AND(AG604&lt;&gt;100,AG604&lt;&gt;0),"Weights must total 100",IF(Z604-Y604&lt;7,"Closing date must be 7+ days after opening","OK"))))</f>
        <v/>
      </c>
    </row>
    <row r="605">
      <c r="Y605" s="13" t="n"/>
      <c r="Z605" s="13" t="n"/>
      <c r="AF605" s="13" t="n"/>
      <c r="AG605" s="12">
        <f>IF(A605="","",SUMIFS('Assessment Weights'!$D:$D,'Assessment Weights'!$A:$A,A605))</f>
        <v/>
      </c>
      <c r="AH605" s="12">
        <f>IF(A605="","",IF(COUNTIF($A$2:$A$1000,A605)&gt;1,"Duplicate Job ID",IF(AND(AG605&lt;&gt;100,AG605&lt;&gt;0),"Weights must total 100",IF(Z605-Y605&lt;7,"Closing date must be 7+ days after opening","OK"))))</f>
        <v/>
      </c>
    </row>
    <row r="606">
      <c r="Y606" s="13" t="n"/>
      <c r="Z606" s="13" t="n"/>
      <c r="AF606" s="13" t="n"/>
      <c r="AG606" s="12">
        <f>IF(A606="","",SUMIFS('Assessment Weights'!$D:$D,'Assessment Weights'!$A:$A,A606))</f>
        <v/>
      </c>
      <c r="AH606" s="12">
        <f>IF(A606="","",IF(COUNTIF($A$2:$A$1000,A606)&gt;1,"Duplicate Job ID",IF(AND(AG606&lt;&gt;100,AG606&lt;&gt;0),"Weights must total 100",IF(Z606-Y606&lt;7,"Closing date must be 7+ days after opening","OK"))))</f>
        <v/>
      </c>
    </row>
    <row r="607">
      <c r="Y607" s="13" t="n"/>
      <c r="Z607" s="13" t="n"/>
      <c r="AF607" s="13" t="n"/>
      <c r="AG607" s="12">
        <f>IF(A607="","",SUMIFS('Assessment Weights'!$D:$D,'Assessment Weights'!$A:$A,A607))</f>
        <v/>
      </c>
      <c r="AH607" s="12">
        <f>IF(A607="","",IF(COUNTIF($A$2:$A$1000,A607)&gt;1,"Duplicate Job ID",IF(AND(AG607&lt;&gt;100,AG607&lt;&gt;0),"Weights must total 100",IF(Z607-Y607&lt;7,"Closing date must be 7+ days after opening","OK"))))</f>
        <v/>
      </c>
    </row>
    <row r="608">
      <c r="Y608" s="13" t="n"/>
      <c r="Z608" s="13" t="n"/>
      <c r="AF608" s="13" t="n"/>
      <c r="AG608" s="12">
        <f>IF(A608="","",SUMIFS('Assessment Weights'!$D:$D,'Assessment Weights'!$A:$A,A608))</f>
        <v/>
      </c>
      <c r="AH608" s="12">
        <f>IF(A608="","",IF(COUNTIF($A$2:$A$1000,A608)&gt;1,"Duplicate Job ID",IF(AND(AG608&lt;&gt;100,AG608&lt;&gt;0),"Weights must total 100",IF(Z608-Y608&lt;7,"Closing date must be 7+ days after opening","OK"))))</f>
        <v/>
      </c>
    </row>
    <row r="609">
      <c r="Y609" s="13" t="n"/>
      <c r="Z609" s="13" t="n"/>
      <c r="AF609" s="13" t="n"/>
      <c r="AG609" s="12">
        <f>IF(A609="","",SUMIFS('Assessment Weights'!$D:$D,'Assessment Weights'!$A:$A,A609))</f>
        <v/>
      </c>
      <c r="AH609" s="12">
        <f>IF(A609="","",IF(COUNTIF($A$2:$A$1000,A609)&gt;1,"Duplicate Job ID",IF(AND(AG609&lt;&gt;100,AG609&lt;&gt;0),"Weights must total 100",IF(Z609-Y609&lt;7,"Closing date must be 7+ days after opening","OK"))))</f>
        <v/>
      </c>
    </row>
    <row r="610">
      <c r="Y610" s="13" t="n"/>
      <c r="Z610" s="13" t="n"/>
      <c r="AF610" s="13" t="n"/>
      <c r="AG610" s="12">
        <f>IF(A610="","",SUMIFS('Assessment Weights'!$D:$D,'Assessment Weights'!$A:$A,A610))</f>
        <v/>
      </c>
      <c r="AH610" s="12">
        <f>IF(A610="","",IF(COUNTIF($A$2:$A$1000,A610)&gt;1,"Duplicate Job ID",IF(AND(AG610&lt;&gt;100,AG610&lt;&gt;0),"Weights must total 100",IF(Z610-Y610&lt;7,"Closing date must be 7+ days after opening","OK"))))</f>
        <v/>
      </c>
    </row>
    <row r="611">
      <c r="Y611" s="13" t="n"/>
      <c r="Z611" s="13" t="n"/>
      <c r="AF611" s="13" t="n"/>
      <c r="AG611" s="12">
        <f>IF(A611="","",SUMIFS('Assessment Weights'!$D:$D,'Assessment Weights'!$A:$A,A611))</f>
        <v/>
      </c>
      <c r="AH611" s="12">
        <f>IF(A611="","",IF(COUNTIF($A$2:$A$1000,A611)&gt;1,"Duplicate Job ID",IF(AND(AG611&lt;&gt;100,AG611&lt;&gt;0),"Weights must total 100",IF(Z611-Y611&lt;7,"Closing date must be 7+ days after opening","OK"))))</f>
        <v/>
      </c>
    </row>
    <row r="612">
      <c r="Y612" s="13" t="n"/>
      <c r="Z612" s="13" t="n"/>
      <c r="AF612" s="13" t="n"/>
      <c r="AG612" s="12">
        <f>IF(A612="","",SUMIFS('Assessment Weights'!$D:$D,'Assessment Weights'!$A:$A,A612))</f>
        <v/>
      </c>
      <c r="AH612" s="12">
        <f>IF(A612="","",IF(COUNTIF($A$2:$A$1000,A612)&gt;1,"Duplicate Job ID",IF(AND(AG612&lt;&gt;100,AG612&lt;&gt;0),"Weights must total 100",IF(Z612-Y612&lt;7,"Closing date must be 7+ days after opening","OK"))))</f>
        <v/>
      </c>
    </row>
    <row r="613">
      <c r="Y613" s="13" t="n"/>
      <c r="Z613" s="13" t="n"/>
      <c r="AF613" s="13" t="n"/>
      <c r="AG613" s="12">
        <f>IF(A613="","",SUMIFS('Assessment Weights'!$D:$D,'Assessment Weights'!$A:$A,A613))</f>
        <v/>
      </c>
      <c r="AH613" s="12">
        <f>IF(A613="","",IF(COUNTIF($A$2:$A$1000,A613)&gt;1,"Duplicate Job ID",IF(AND(AG613&lt;&gt;100,AG613&lt;&gt;0),"Weights must total 100",IF(Z613-Y613&lt;7,"Closing date must be 7+ days after opening","OK"))))</f>
        <v/>
      </c>
    </row>
    <row r="614">
      <c r="Y614" s="13" t="n"/>
      <c r="Z614" s="13" t="n"/>
      <c r="AF614" s="13" t="n"/>
      <c r="AG614" s="12">
        <f>IF(A614="","",SUMIFS('Assessment Weights'!$D:$D,'Assessment Weights'!$A:$A,A614))</f>
        <v/>
      </c>
      <c r="AH614" s="12">
        <f>IF(A614="","",IF(COUNTIF($A$2:$A$1000,A614)&gt;1,"Duplicate Job ID",IF(AND(AG614&lt;&gt;100,AG614&lt;&gt;0),"Weights must total 100",IF(Z614-Y614&lt;7,"Closing date must be 7+ days after opening","OK"))))</f>
        <v/>
      </c>
    </row>
    <row r="615">
      <c r="Y615" s="13" t="n"/>
      <c r="Z615" s="13" t="n"/>
      <c r="AF615" s="13" t="n"/>
      <c r="AG615" s="12">
        <f>IF(A615="","",SUMIFS('Assessment Weights'!$D:$D,'Assessment Weights'!$A:$A,A615))</f>
        <v/>
      </c>
      <c r="AH615" s="12">
        <f>IF(A615="","",IF(COUNTIF($A$2:$A$1000,A615)&gt;1,"Duplicate Job ID",IF(AND(AG615&lt;&gt;100,AG615&lt;&gt;0),"Weights must total 100",IF(Z615-Y615&lt;7,"Closing date must be 7+ days after opening","OK"))))</f>
        <v/>
      </c>
    </row>
    <row r="616">
      <c r="Y616" s="13" t="n"/>
      <c r="Z616" s="13" t="n"/>
      <c r="AF616" s="13" t="n"/>
      <c r="AG616" s="12">
        <f>IF(A616="","",SUMIFS('Assessment Weights'!$D:$D,'Assessment Weights'!$A:$A,A616))</f>
        <v/>
      </c>
      <c r="AH616" s="12">
        <f>IF(A616="","",IF(COUNTIF($A$2:$A$1000,A616)&gt;1,"Duplicate Job ID",IF(AND(AG616&lt;&gt;100,AG616&lt;&gt;0),"Weights must total 100",IF(Z616-Y616&lt;7,"Closing date must be 7+ days after opening","OK"))))</f>
        <v/>
      </c>
    </row>
    <row r="617">
      <c r="Y617" s="13" t="n"/>
      <c r="Z617" s="13" t="n"/>
      <c r="AF617" s="13" t="n"/>
      <c r="AG617" s="12">
        <f>IF(A617="","",SUMIFS('Assessment Weights'!$D:$D,'Assessment Weights'!$A:$A,A617))</f>
        <v/>
      </c>
      <c r="AH617" s="12">
        <f>IF(A617="","",IF(COUNTIF($A$2:$A$1000,A617)&gt;1,"Duplicate Job ID",IF(AND(AG617&lt;&gt;100,AG617&lt;&gt;0),"Weights must total 100",IF(Z617-Y617&lt;7,"Closing date must be 7+ days after opening","OK"))))</f>
        <v/>
      </c>
    </row>
    <row r="618">
      <c r="Y618" s="13" t="n"/>
      <c r="Z618" s="13" t="n"/>
      <c r="AF618" s="13" t="n"/>
      <c r="AG618" s="12">
        <f>IF(A618="","",SUMIFS('Assessment Weights'!$D:$D,'Assessment Weights'!$A:$A,A618))</f>
        <v/>
      </c>
      <c r="AH618" s="12">
        <f>IF(A618="","",IF(COUNTIF($A$2:$A$1000,A618)&gt;1,"Duplicate Job ID",IF(AND(AG618&lt;&gt;100,AG618&lt;&gt;0),"Weights must total 100",IF(Z618-Y618&lt;7,"Closing date must be 7+ days after opening","OK"))))</f>
        <v/>
      </c>
    </row>
    <row r="619">
      <c r="Y619" s="13" t="n"/>
      <c r="Z619" s="13" t="n"/>
      <c r="AF619" s="13" t="n"/>
      <c r="AG619" s="12">
        <f>IF(A619="","",SUMIFS('Assessment Weights'!$D:$D,'Assessment Weights'!$A:$A,A619))</f>
        <v/>
      </c>
      <c r="AH619" s="12">
        <f>IF(A619="","",IF(COUNTIF($A$2:$A$1000,A619)&gt;1,"Duplicate Job ID",IF(AND(AG619&lt;&gt;100,AG619&lt;&gt;0),"Weights must total 100",IF(Z619-Y619&lt;7,"Closing date must be 7+ days after opening","OK"))))</f>
        <v/>
      </c>
    </row>
    <row r="620">
      <c r="Y620" s="13" t="n"/>
      <c r="Z620" s="13" t="n"/>
      <c r="AF620" s="13" t="n"/>
      <c r="AG620" s="12">
        <f>IF(A620="","",SUMIFS('Assessment Weights'!$D:$D,'Assessment Weights'!$A:$A,A620))</f>
        <v/>
      </c>
      <c r="AH620" s="12">
        <f>IF(A620="","",IF(COUNTIF($A$2:$A$1000,A620)&gt;1,"Duplicate Job ID",IF(AND(AG620&lt;&gt;100,AG620&lt;&gt;0),"Weights must total 100",IF(Z620-Y620&lt;7,"Closing date must be 7+ days after opening","OK"))))</f>
        <v/>
      </c>
    </row>
    <row r="621">
      <c r="Y621" s="13" t="n"/>
      <c r="Z621" s="13" t="n"/>
      <c r="AF621" s="13" t="n"/>
      <c r="AG621" s="12">
        <f>IF(A621="","",SUMIFS('Assessment Weights'!$D:$D,'Assessment Weights'!$A:$A,A621))</f>
        <v/>
      </c>
      <c r="AH621" s="12">
        <f>IF(A621="","",IF(COUNTIF($A$2:$A$1000,A621)&gt;1,"Duplicate Job ID",IF(AND(AG621&lt;&gt;100,AG621&lt;&gt;0),"Weights must total 100",IF(Z621-Y621&lt;7,"Closing date must be 7+ days after opening","OK"))))</f>
        <v/>
      </c>
    </row>
    <row r="622">
      <c r="Y622" s="13" t="n"/>
      <c r="Z622" s="13" t="n"/>
      <c r="AF622" s="13" t="n"/>
      <c r="AG622" s="12">
        <f>IF(A622="","",SUMIFS('Assessment Weights'!$D:$D,'Assessment Weights'!$A:$A,A622))</f>
        <v/>
      </c>
      <c r="AH622" s="12">
        <f>IF(A622="","",IF(COUNTIF($A$2:$A$1000,A622)&gt;1,"Duplicate Job ID",IF(AND(AG622&lt;&gt;100,AG622&lt;&gt;0),"Weights must total 100",IF(Z622-Y622&lt;7,"Closing date must be 7+ days after opening","OK"))))</f>
        <v/>
      </c>
    </row>
    <row r="623">
      <c r="Y623" s="13" t="n"/>
      <c r="Z623" s="13" t="n"/>
      <c r="AF623" s="13" t="n"/>
      <c r="AG623" s="12">
        <f>IF(A623="","",SUMIFS('Assessment Weights'!$D:$D,'Assessment Weights'!$A:$A,A623))</f>
        <v/>
      </c>
      <c r="AH623" s="12">
        <f>IF(A623="","",IF(COUNTIF($A$2:$A$1000,A623)&gt;1,"Duplicate Job ID",IF(AND(AG623&lt;&gt;100,AG623&lt;&gt;0),"Weights must total 100",IF(Z623-Y623&lt;7,"Closing date must be 7+ days after opening","OK"))))</f>
        <v/>
      </c>
    </row>
    <row r="624">
      <c r="Y624" s="13" t="n"/>
      <c r="Z624" s="13" t="n"/>
      <c r="AF624" s="13" t="n"/>
      <c r="AG624" s="12">
        <f>IF(A624="","",SUMIFS('Assessment Weights'!$D:$D,'Assessment Weights'!$A:$A,A624))</f>
        <v/>
      </c>
      <c r="AH624" s="12">
        <f>IF(A624="","",IF(COUNTIF($A$2:$A$1000,A624)&gt;1,"Duplicate Job ID",IF(AND(AG624&lt;&gt;100,AG624&lt;&gt;0),"Weights must total 100",IF(Z624-Y624&lt;7,"Closing date must be 7+ days after opening","OK"))))</f>
        <v/>
      </c>
    </row>
    <row r="625">
      <c r="Y625" s="13" t="n"/>
      <c r="Z625" s="13" t="n"/>
      <c r="AF625" s="13" t="n"/>
      <c r="AG625" s="12">
        <f>IF(A625="","",SUMIFS('Assessment Weights'!$D:$D,'Assessment Weights'!$A:$A,A625))</f>
        <v/>
      </c>
      <c r="AH625" s="12">
        <f>IF(A625="","",IF(COUNTIF($A$2:$A$1000,A625)&gt;1,"Duplicate Job ID",IF(AND(AG625&lt;&gt;100,AG625&lt;&gt;0),"Weights must total 100",IF(Z625-Y625&lt;7,"Closing date must be 7+ days after opening","OK"))))</f>
        <v/>
      </c>
    </row>
    <row r="626">
      <c r="Y626" s="13" t="n"/>
      <c r="Z626" s="13" t="n"/>
      <c r="AF626" s="13" t="n"/>
      <c r="AG626" s="12">
        <f>IF(A626="","",SUMIFS('Assessment Weights'!$D:$D,'Assessment Weights'!$A:$A,A626))</f>
        <v/>
      </c>
      <c r="AH626" s="12">
        <f>IF(A626="","",IF(COUNTIF($A$2:$A$1000,A626)&gt;1,"Duplicate Job ID",IF(AND(AG626&lt;&gt;100,AG626&lt;&gt;0),"Weights must total 100",IF(Z626-Y626&lt;7,"Closing date must be 7+ days after opening","OK"))))</f>
        <v/>
      </c>
    </row>
    <row r="627">
      <c r="Y627" s="13" t="n"/>
      <c r="Z627" s="13" t="n"/>
      <c r="AF627" s="13" t="n"/>
      <c r="AG627" s="12">
        <f>IF(A627="","",SUMIFS('Assessment Weights'!$D:$D,'Assessment Weights'!$A:$A,A627))</f>
        <v/>
      </c>
      <c r="AH627" s="12">
        <f>IF(A627="","",IF(COUNTIF($A$2:$A$1000,A627)&gt;1,"Duplicate Job ID",IF(AND(AG627&lt;&gt;100,AG627&lt;&gt;0),"Weights must total 100",IF(Z627-Y627&lt;7,"Closing date must be 7+ days after opening","OK"))))</f>
        <v/>
      </c>
    </row>
    <row r="628">
      <c r="Y628" s="13" t="n"/>
      <c r="Z628" s="13" t="n"/>
      <c r="AF628" s="13" t="n"/>
      <c r="AG628" s="12">
        <f>IF(A628="","",SUMIFS('Assessment Weights'!$D:$D,'Assessment Weights'!$A:$A,A628))</f>
        <v/>
      </c>
      <c r="AH628" s="12">
        <f>IF(A628="","",IF(COUNTIF($A$2:$A$1000,A628)&gt;1,"Duplicate Job ID",IF(AND(AG628&lt;&gt;100,AG628&lt;&gt;0),"Weights must total 100",IF(Z628-Y628&lt;7,"Closing date must be 7+ days after opening","OK"))))</f>
        <v/>
      </c>
    </row>
    <row r="629">
      <c r="Y629" s="13" t="n"/>
      <c r="Z629" s="13" t="n"/>
      <c r="AF629" s="13" t="n"/>
      <c r="AG629" s="12">
        <f>IF(A629="","",SUMIFS('Assessment Weights'!$D:$D,'Assessment Weights'!$A:$A,A629))</f>
        <v/>
      </c>
      <c r="AH629" s="12">
        <f>IF(A629="","",IF(COUNTIF($A$2:$A$1000,A629)&gt;1,"Duplicate Job ID",IF(AND(AG629&lt;&gt;100,AG629&lt;&gt;0),"Weights must total 100",IF(Z629-Y629&lt;7,"Closing date must be 7+ days after opening","OK"))))</f>
        <v/>
      </c>
    </row>
    <row r="630">
      <c r="Y630" s="13" t="n"/>
      <c r="Z630" s="13" t="n"/>
      <c r="AF630" s="13" t="n"/>
      <c r="AG630" s="12">
        <f>IF(A630="","",SUMIFS('Assessment Weights'!$D:$D,'Assessment Weights'!$A:$A,A630))</f>
        <v/>
      </c>
      <c r="AH630" s="12">
        <f>IF(A630="","",IF(COUNTIF($A$2:$A$1000,A630)&gt;1,"Duplicate Job ID",IF(AND(AG630&lt;&gt;100,AG630&lt;&gt;0),"Weights must total 100",IF(Z630-Y630&lt;7,"Closing date must be 7+ days after opening","OK"))))</f>
        <v/>
      </c>
    </row>
    <row r="631">
      <c r="Y631" s="13" t="n"/>
      <c r="Z631" s="13" t="n"/>
      <c r="AF631" s="13" t="n"/>
      <c r="AG631" s="12">
        <f>IF(A631="","",SUMIFS('Assessment Weights'!$D:$D,'Assessment Weights'!$A:$A,A631))</f>
        <v/>
      </c>
      <c r="AH631" s="12">
        <f>IF(A631="","",IF(COUNTIF($A$2:$A$1000,A631)&gt;1,"Duplicate Job ID",IF(AND(AG631&lt;&gt;100,AG631&lt;&gt;0),"Weights must total 100",IF(Z631-Y631&lt;7,"Closing date must be 7+ days after opening","OK"))))</f>
        <v/>
      </c>
    </row>
    <row r="632">
      <c r="Y632" s="13" t="n"/>
      <c r="Z632" s="13" t="n"/>
      <c r="AF632" s="13" t="n"/>
      <c r="AG632" s="12">
        <f>IF(A632="","",SUMIFS('Assessment Weights'!$D:$D,'Assessment Weights'!$A:$A,A632))</f>
        <v/>
      </c>
      <c r="AH632" s="12">
        <f>IF(A632="","",IF(COUNTIF($A$2:$A$1000,A632)&gt;1,"Duplicate Job ID",IF(AND(AG632&lt;&gt;100,AG632&lt;&gt;0),"Weights must total 100",IF(Z632-Y632&lt;7,"Closing date must be 7+ days after opening","OK"))))</f>
        <v/>
      </c>
    </row>
    <row r="633">
      <c r="Y633" s="13" t="n"/>
      <c r="Z633" s="13" t="n"/>
      <c r="AF633" s="13" t="n"/>
      <c r="AG633" s="12">
        <f>IF(A633="","",SUMIFS('Assessment Weights'!$D:$D,'Assessment Weights'!$A:$A,A633))</f>
        <v/>
      </c>
      <c r="AH633" s="12">
        <f>IF(A633="","",IF(COUNTIF($A$2:$A$1000,A633)&gt;1,"Duplicate Job ID",IF(AND(AG633&lt;&gt;100,AG633&lt;&gt;0),"Weights must total 100",IF(Z633-Y633&lt;7,"Closing date must be 7+ days after opening","OK"))))</f>
        <v/>
      </c>
    </row>
    <row r="634">
      <c r="Y634" s="13" t="n"/>
      <c r="Z634" s="13" t="n"/>
      <c r="AF634" s="13" t="n"/>
      <c r="AG634" s="12">
        <f>IF(A634="","",SUMIFS('Assessment Weights'!$D:$D,'Assessment Weights'!$A:$A,A634))</f>
        <v/>
      </c>
      <c r="AH634" s="12">
        <f>IF(A634="","",IF(COUNTIF($A$2:$A$1000,A634)&gt;1,"Duplicate Job ID",IF(AND(AG634&lt;&gt;100,AG634&lt;&gt;0),"Weights must total 100",IF(Z634-Y634&lt;7,"Closing date must be 7+ days after opening","OK"))))</f>
        <v/>
      </c>
    </row>
    <row r="635">
      <c r="Y635" s="13" t="n"/>
      <c r="Z635" s="13" t="n"/>
      <c r="AF635" s="13" t="n"/>
      <c r="AG635" s="12">
        <f>IF(A635="","",SUMIFS('Assessment Weights'!$D:$D,'Assessment Weights'!$A:$A,A635))</f>
        <v/>
      </c>
      <c r="AH635" s="12">
        <f>IF(A635="","",IF(COUNTIF($A$2:$A$1000,A635)&gt;1,"Duplicate Job ID",IF(AND(AG635&lt;&gt;100,AG635&lt;&gt;0),"Weights must total 100",IF(Z635-Y635&lt;7,"Closing date must be 7+ days after opening","OK"))))</f>
        <v/>
      </c>
    </row>
    <row r="636">
      <c r="Y636" s="13" t="n"/>
      <c r="Z636" s="13" t="n"/>
      <c r="AF636" s="13" t="n"/>
      <c r="AG636" s="12">
        <f>IF(A636="","",SUMIFS('Assessment Weights'!$D:$D,'Assessment Weights'!$A:$A,A636))</f>
        <v/>
      </c>
      <c r="AH636" s="12">
        <f>IF(A636="","",IF(COUNTIF($A$2:$A$1000,A636)&gt;1,"Duplicate Job ID",IF(AND(AG636&lt;&gt;100,AG636&lt;&gt;0),"Weights must total 100",IF(Z636-Y636&lt;7,"Closing date must be 7+ days after opening","OK"))))</f>
        <v/>
      </c>
    </row>
    <row r="637">
      <c r="Y637" s="13" t="n"/>
      <c r="Z637" s="13" t="n"/>
      <c r="AF637" s="13" t="n"/>
      <c r="AG637" s="12">
        <f>IF(A637="","",SUMIFS('Assessment Weights'!$D:$D,'Assessment Weights'!$A:$A,A637))</f>
        <v/>
      </c>
      <c r="AH637" s="12">
        <f>IF(A637="","",IF(COUNTIF($A$2:$A$1000,A637)&gt;1,"Duplicate Job ID",IF(AND(AG637&lt;&gt;100,AG637&lt;&gt;0),"Weights must total 100",IF(Z637-Y637&lt;7,"Closing date must be 7+ days after opening","OK"))))</f>
        <v/>
      </c>
    </row>
    <row r="638">
      <c r="Y638" s="13" t="n"/>
      <c r="Z638" s="13" t="n"/>
      <c r="AF638" s="13" t="n"/>
      <c r="AG638" s="12">
        <f>IF(A638="","",SUMIFS('Assessment Weights'!$D:$D,'Assessment Weights'!$A:$A,A638))</f>
        <v/>
      </c>
      <c r="AH638" s="12">
        <f>IF(A638="","",IF(COUNTIF($A$2:$A$1000,A638)&gt;1,"Duplicate Job ID",IF(AND(AG638&lt;&gt;100,AG638&lt;&gt;0),"Weights must total 100",IF(Z638-Y638&lt;7,"Closing date must be 7+ days after opening","OK"))))</f>
        <v/>
      </c>
    </row>
    <row r="639">
      <c r="Y639" s="13" t="n"/>
      <c r="Z639" s="13" t="n"/>
      <c r="AF639" s="13" t="n"/>
      <c r="AG639" s="12">
        <f>IF(A639="","",SUMIFS('Assessment Weights'!$D:$D,'Assessment Weights'!$A:$A,A639))</f>
        <v/>
      </c>
      <c r="AH639" s="12">
        <f>IF(A639="","",IF(COUNTIF($A$2:$A$1000,A639)&gt;1,"Duplicate Job ID",IF(AND(AG639&lt;&gt;100,AG639&lt;&gt;0),"Weights must total 100",IF(Z639-Y639&lt;7,"Closing date must be 7+ days after opening","OK"))))</f>
        <v/>
      </c>
    </row>
    <row r="640">
      <c r="Y640" s="13" t="n"/>
      <c r="Z640" s="13" t="n"/>
      <c r="AF640" s="13" t="n"/>
      <c r="AG640" s="12">
        <f>IF(A640="","",SUMIFS('Assessment Weights'!$D:$D,'Assessment Weights'!$A:$A,A640))</f>
        <v/>
      </c>
      <c r="AH640" s="12">
        <f>IF(A640="","",IF(COUNTIF($A$2:$A$1000,A640)&gt;1,"Duplicate Job ID",IF(AND(AG640&lt;&gt;100,AG640&lt;&gt;0),"Weights must total 100",IF(Z640-Y640&lt;7,"Closing date must be 7+ days after opening","OK"))))</f>
        <v/>
      </c>
    </row>
    <row r="641">
      <c r="Y641" s="13" t="n"/>
      <c r="Z641" s="13" t="n"/>
      <c r="AF641" s="13" t="n"/>
      <c r="AG641" s="12">
        <f>IF(A641="","",SUMIFS('Assessment Weights'!$D:$D,'Assessment Weights'!$A:$A,A641))</f>
        <v/>
      </c>
      <c r="AH641" s="12">
        <f>IF(A641="","",IF(COUNTIF($A$2:$A$1000,A641)&gt;1,"Duplicate Job ID",IF(AND(AG641&lt;&gt;100,AG641&lt;&gt;0),"Weights must total 100",IF(Z641-Y641&lt;7,"Closing date must be 7+ days after opening","OK"))))</f>
        <v/>
      </c>
    </row>
    <row r="642">
      <c r="Y642" s="13" t="n"/>
      <c r="Z642" s="13" t="n"/>
      <c r="AF642" s="13" t="n"/>
      <c r="AG642" s="12">
        <f>IF(A642="","",SUMIFS('Assessment Weights'!$D:$D,'Assessment Weights'!$A:$A,A642))</f>
        <v/>
      </c>
      <c r="AH642" s="12">
        <f>IF(A642="","",IF(COUNTIF($A$2:$A$1000,A642)&gt;1,"Duplicate Job ID",IF(AND(AG642&lt;&gt;100,AG642&lt;&gt;0),"Weights must total 100",IF(Z642-Y642&lt;7,"Closing date must be 7+ days after opening","OK"))))</f>
        <v/>
      </c>
    </row>
    <row r="643">
      <c r="Y643" s="13" t="n"/>
      <c r="Z643" s="13" t="n"/>
      <c r="AF643" s="13" t="n"/>
      <c r="AG643" s="12">
        <f>IF(A643="","",SUMIFS('Assessment Weights'!$D:$D,'Assessment Weights'!$A:$A,A643))</f>
        <v/>
      </c>
      <c r="AH643" s="12">
        <f>IF(A643="","",IF(COUNTIF($A$2:$A$1000,A643)&gt;1,"Duplicate Job ID",IF(AND(AG643&lt;&gt;100,AG643&lt;&gt;0),"Weights must total 100",IF(Z643-Y643&lt;7,"Closing date must be 7+ days after opening","OK"))))</f>
        <v/>
      </c>
    </row>
    <row r="644">
      <c r="Y644" s="13" t="n"/>
      <c r="Z644" s="13" t="n"/>
      <c r="AF644" s="13" t="n"/>
      <c r="AG644" s="12">
        <f>IF(A644="","",SUMIFS('Assessment Weights'!$D:$D,'Assessment Weights'!$A:$A,A644))</f>
        <v/>
      </c>
      <c r="AH644" s="12">
        <f>IF(A644="","",IF(COUNTIF($A$2:$A$1000,A644)&gt;1,"Duplicate Job ID",IF(AND(AG644&lt;&gt;100,AG644&lt;&gt;0),"Weights must total 100",IF(Z644-Y644&lt;7,"Closing date must be 7+ days after opening","OK"))))</f>
        <v/>
      </c>
    </row>
    <row r="645">
      <c r="Y645" s="13" t="n"/>
      <c r="Z645" s="13" t="n"/>
      <c r="AF645" s="13" t="n"/>
      <c r="AG645" s="12">
        <f>IF(A645="","",SUMIFS('Assessment Weights'!$D:$D,'Assessment Weights'!$A:$A,A645))</f>
        <v/>
      </c>
      <c r="AH645" s="12">
        <f>IF(A645="","",IF(COUNTIF($A$2:$A$1000,A645)&gt;1,"Duplicate Job ID",IF(AND(AG645&lt;&gt;100,AG645&lt;&gt;0),"Weights must total 100",IF(Z645-Y645&lt;7,"Closing date must be 7+ days after opening","OK"))))</f>
        <v/>
      </c>
    </row>
    <row r="646">
      <c r="Y646" s="13" t="n"/>
      <c r="Z646" s="13" t="n"/>
      <c r="AF646" s="13" t="n"/>
      <c r="AG646" s="12">
        <f>IF(A646="","",SUMIFS('Assessment Weights'!$D:$D,'Assessment Weights'!$A:$A,A646))</f>
        <v/>
      </c>
      <c r="AH646" s="12">
        <f>IF(A646="","",IF(COUNTIF($A$2:$A$1000,A646)&gt;1,"Duplicate Job ID",IF(AND(AG646&lt;&gt;100,AG646&lt;&gt;0),"Weights must total 100",IF(Z646-Y646&lt;7,"Closing date must be 7+ days after opening","OK"))))</f>
        <v/>
      </c>
    </row>
    <row r="647">
      <c r="Y647" s="13" t="n"/>
      <c r="Z647" s="13" t="n"/>
      <c r="AF647" s="13" t="n"/>
      <c r="AG647" s="12">
        <f>IF(A647="","",SUMIFS('Assessment Weights'!$D:$D,'Assessment Weights'!$A:$A,A647))</f>
        <v/>
      </c>
      <c r="AH647" s="12">
        <f>IF(A647="","",IF(COUNTIF($A$2:$A$1000,A647)&gt;1,"Duplicate Job ID",IF(AND(AG647&lt;&gt;100,AG647&lt;&gt;0),"Weights must total 100",IF(Z647-Y647&lt;7,"Closing date must be 7+ days after opening","OK"))))</f>
        <v/>
      </c>
    </row>
    <row r="648">
      <c r="Y648" s="13" t="n"/>
      <c r="Z648" s="13" t="n"/>
      <c r="AF648" s="13" t="n"/>
      <c r="AG648" s="12">
        <f>IF(A648="","",SUMIFS('Assessment Weights'!$D:$D,'Assessment Weights'!$A:$A,A648))</f>
        <v/>
      </c>
      <c r="AH648" s="12">
        <f>IF(A648="","",IF(COUNTIF($A$2:$A$1000,A648)&gt;1,"Duplicate Job ID",IF(AND(AG648&lt;&gt;100,AG648&lt;&gt;0),"Weights must total 100",IF(Z648-Y648&lt;7,"Closing date must be 7+ days after opening","OK"))))</f>
        <v/>
      </c>
    </row>
    <row r="649">
      <c r="Y649" s="13" t="n"/>
      <c r="Z649" s="13" t="n"/>
      <c r="AF649" s="13" t="n"/>
      <c r="AG649" s="12">
        <f>IF(A649="","",SUMIFS('Assessment Weights'!$D:$D,'Assessment Weights'!$A:$A,A649))</f>
        <v/>
      </c>
      <c r="AH649" s="12">
        <f>IF(A649="","",IF(COUNTIF($A$2:$A$1000,A649)&gt;1,"Duplicate Job ID",IF(AND(AG649&lt;&gt;100,AG649&lt;&gt;0),"Weights must total 100",IF(Z649-Y649&lt;7,"Closing date must be 7+ days after opening","OK"))))</f>
        <v/>
      </c>
    </row>
    <row r="650">
      <c r="Y650" s="13" t="n"/>
      <c r="Z650" s="13" t="n"/>
      <c r="AF650" s="13" t="n"/>
      <c r="AG650" s="12">
        <f>IF(A650="","",SUMIFS('Assessment Weights'!$D:$D,'Assessment Weights'!$A:$A,A650))</f>
        <v/>
      </c>
      <c r="AH650" s="12">
        <f>IF(A650="","",IF(COUNTIF($A$2:$A$1000,A650)&gt;1,"Duplicate Job ID",IF(AND(AG650&lt;&gt;100,AG650&lt;&gt;0),"Weights must total 100",IF(Z650-Y650&lt;7,"Closing date must be 7+ days after opening","OK"))))</f>
        <v/>
      </c>
    </row>
    <row r="651">
      <c r="Y651" s="13" t="n"/>
      <c r="Z651" s="13" t="n"/>
      <c r="AF651" s="13" t="n"/>
      <c r="AG651" s="12">
        <f>IF(A651="","",SUMIFS('Assessment Weights'!$D:$D,'Assessment Weights'!$A:$A,A651))</f>
        <v/>
      </c>
      <c r="AH651" s="12">
        <f>IF(A651="","",IF(COUNTIF($A$2:$A$1000,A651)&gt;1,"Duplicate Job ID",IF(AND(AG651&lt;&gt;100,AG651&lt;&gt;0),"Weights must total 100",IF(Z651-Y651&lt;7,"Closing date must be 7+ days after opening","OK"))))</f>
        <v/>
      </c>
    </row>
    <row r="652">
      <c r="Y652" s="13" t="n"/>
      <c r="Z652" s="13" t="n"/>
      <c r="AF652" s="13" t="n"/>
      <c r="AG652" s="12">
        <f>IF(A652="","",SUMIFS('Assessment Weights'!$D:$D,'Assessment Weights'!$A:$A,A652))</f>
        <v/>
      </c>
      <c r="AH652" s="12">
        <f>IF(A652="","",IF(COUNTIF($A$2:$A$1000,A652)&gt;1,"Duplicate Job ID",IF(AND(AG652&lt;&gt;100,AG652&lt;&gt;0),"Weights must total 100",IF(Z652-Y652&lt;7,"Closing date must be 7+ days after opening","OK"))))</f>
        <v/>
      </c>
    </row>
    <row r="653">
      <c r="Y653" s="13" t="n"/>
      <c r="Z653" s="13" t="n"/>
      <c r="AF653" s="13" t="n"/>
      <c r="AG653" s="12">
        <f>IF(A653="","",SUMIFS('Assessment Weights'!$D:$D,'Assessment Weights'!$A:$A,A653))</f>
        <v/>
      </c>
      <c r="AH653" s="12">
        <f>IF(A653="","",IF(COUNTIF($A$2:$A$1000,A653)&gt;1,"Duplicate Job ID",IF(AND(AG653&lt;&gt;100,AG653&lt;&gt;0),"Weights must total 100",IF(Z653-Y653&lt;7,"Closing date must be 7+ days after opening","OK"))))</f>
        <v/>
      </c>
    </row>
    <row r="654">
      <c r="Y654" s="13" t="n"/>
      <c r="Z654" s="13" t="n"/>
      <c r="AF654" s="13" t="n"/>
      <c r="AG654" s="12">
        <f>IF(A654="","",SUMIFS('Assessment Weights'!$D:$D,'Assessment Weights'!$A:$A,A654))</f>
        <v/>
      </c>
      <c r="AH654" s="12">
        <f>IF(A654="","",IF(COUNTIF($A$2:$A$1000,A654)&gt;1,"Duplicate Job ID",IF(AND(AG654&lt;&gt;100,AG654&lt;&gt;0),"Weights must total 100",IF(Z654-Y654&lt;7,"Closing date must be 7+ days after opening","OK"))))</f>
        <v/>
      </c>
    </row>
    <row r="655">
      <c r="Y655" s="13" t="n"/>
      <c r="Z655" s="13" t="n"/>
      <c r="AF655" s="13" t="n"/>
      <c r="AG655" s="12">
        <f>IF(A655="","",SUMIFS('Assessment Weights'!$D:$D,'Assessment Weights'!$A:$A,A655))</f>
        <v/>
      </c>
      <c r="AH655" s="12">
        <f>IF(A655="","",IF(COUNTIF($A$2:$A$1000,A655)&gt;1,"Duplicate Job ID",IF(AND(AG655&lt;&gt;100,AG655&lt;&gt;0),"Weights must total 100",IF(Z655-Y655&lt;7,"Closing date must be 7+ days after opening","OK"))))</f>
        <v/>
      </c>
    </row>
    <row r="656">
      <c r="Y656" s="13" t="n"/>
      <c r="Z656" s="13" t="n"/>
      <c r="AF656" s="13" t="n"/>
      <c r="AG656" s="12">
        <f>IF(A656="","",SUMIFS('Assessment Weights'!$D:$D,'Assessment Weights'!$A:$A,A656))</f>
        <v/>
      </c>
      <c r="AH656" s="12">
        <f>IF(A656="","",IF(COUNTIF($A$2:$A$1000,A656)&gt;1,"Duplicate Job ID",IF(AND(AG656&lt;&gt;100,AG656&lt;&gt;0),"Weights must total 100",IF(Z656-Y656&lt;7,"Closing date must be 7+ days after opening","OK"))))</f>
        <v/>
      </c>
    </row>
    <row r="657">
      <c r="Y657" s="13" t="n"/>
      <c r="Z657" s="13" t="n"/>
      <c r="AF657" s="13" t="n"/>
      <c r="AG657" s="12">
        <f>IF(A657="","",SUMIFS('Assessment Weights'!$D:$D,'Assessment Weights'!$A:$A,A657))</f>
        <v/>
      </c>
      <c r="AH657" s="12">
        <f>IF(A657="","",IF(COUNTIF($A$2:$A$1000,A657)&gt;1,"Duplicate Job ID",IF(AND(AG657&lt;&gt;100,AG657&lt;&gt;0),"Weights must total 100",IF(Z657-Y657&lt;7,"Closing date must be 7+ days after opening","OK"))))</f>
        <v/>
      </c>
    </row>
    <row r="658">
      <c r="Y658" s="13" t="n"/>
      <c r="Z658" s="13" t="n"/>
      <c r="AF658" s="13" t="n"/>
      <c r="AG658" s="12">
        <f>IF(A658="","",SUMIFS('Assessment Weights'!$D:$D,'Assessment Weights'!$A:$A,A658))</f>
        <v/>
      </c>
      <c r="AH658" s="12">
        <f>IF(A658="","",IF(COUNTIF($A$2:$A$1000,A658)&gt;1,"Duplicate Job ID",IF(AND(AG658&lt;&gt;100,AG658&lt;&gt;0),"Weights must total 100",IF(Z658-Y658&lt;7,"Closing date must be 7+ days after opening","OK"))))</f>
        <v/>
      </c>
    </row>
    <row r="659">
      <c r="Y659" s="13" t="n"/>
      <c r="Z659" s="13" t="n"/>
      <c r="AF659" s="13" t="n"/>
      <c r="AG659" s="12">
        <f>IF(A659="","",SUMIFS('Assessment Weights'!$D:$D,'Assessment Weights'!$A:$A,A659))</f>
        <v/>
      </c>
      <c r="AH659" s="12">
        <f>IF(A659="","",IF(COUNTIF($A$2:$A$1000,A659)&gt;1,"Duplicate Job ID",IF(AND(AG659&lt;&gt;100,AG659&lt;&gt;0),"Weights must total 100",IF(Z659-Y659&lt;7,"Closing date must be 7+ days after opening","OK"))))</f>
        <v/>
      </c>
    </row>
    <row r="660">
      <c r="Y660" s="13" t="n"/>
      <c r="Z660" s="13" t="n"/>
      <c r="AF660" s="13" t="n"/>
      <c r="AG660" s="12">
        <f>IF(A660="","",SUMIFS('Assessment Weights'!$D:$D,'Assessment Weights'!$A:$A,A660))</f>
        <v/>
      </c>
      <c r="AH660" s="12">
        <f>IF(A660="","",IF(COUNTIF($A$2:$A$1000,A660)&gt;1,"Duplicate Job ID",IF(AND(AG660&lt;&gt;100,AG660&lt;&gt;0),"Weights must total 100",IF(Z660-Y660&lt;7,"Closing date must be 7+ days after opening","OK"))))</f>
        <v/>
      </c>
    </row>
    <row r="661">
      <c r="Y661" s="13" t="n"/>
      <c r="Z661" s="13" t="n"/>
      <c r="AF661" s="13" t="n"/>
      <c r="AG661" s="12">
        <f>IF(A661="","",SUMIFS('Assessment Weights'!$D:$D,'Assessment Weights'!$A:$A,A661))</f>
        <v/>
      </c>
      <c r="AH661" s="12">
        <f>IF(A661="","",IF(COUNTIF($A$2:$A$1000,A661)&gt;1,"Duplicate Job ID",IF(AND(AG661&lt;&gt;100,AG661&lt;&gt;0),"Weights must total 100",IF(Z661-Y661&lt;7,"Closing date must be 7+ days after opening","OK"))))</f>
        <v/>
      </c>
    </row>
    <row r="662">
      <c r="Y662" s="13" t="n"/>
      <c r="Z662" s="13" t="n"/>
      <c r="AF662" s="13" t="n"/>
      <c r="AG662" s="12">
        <f>IF(A662="","",SUMIFS('Assessment Weights'!$D:$D,'Assessment Weights'!$A:$A,A662))</f>
        <v/>
      </c>
      <c r="AH662" s="12">
        <f>IF(A662="","",IF(COUNTIF($A$2:$A$1000,A662)&gt;1,"Duplicate Job ID",IF(AND(AG662&lt;&gt;100,AG662&lt;&gt;0),"Weights must total 100",IF(Z662-Y662&lt;7,"Closing date must be 7+ days after opening","OK"))))</f>
        <v/>
      </c>
    </row>
    <row r="663">
      <c r="Y663" s="13" t="n"/>
      <c r="Z663" s="13" t="n"/>
      <c r="AF663" s="13" t="n"/>
      <c r="AG663" s="12">
        <f>IF(A663="","",SUMIFS('Assessment Weights'!$D:$D,'Assessment Weights'!$A:$A,A663))</f>
        <v/>
      </c>
      <c r="AH663" s="12">
        <f>IF(A663="","",IF(COUNTIF($A$2:$A$1000,A663)&gt;1,"Duplicate Job ID",IF(AND(AG663&lt;&gt;100,AG663&lt;&gt;0),"Weights must total 100",IF(Z663-Y663&lt;7,"Closing date must be 7+ days after opening","OK"))))</f>
        <v/>
      </c>
    </row>
    <row r="664">
      <c r="Y664" s="13" t="n"/>
      <c r="Z664" s="13" t="n"/>
      <c r="AF664" s="13" t="n"/>
      <c r="AG664" s="12">
        <f>IF(A664="","",SUMIFS('Assessment Weights'!$D:$D,'Assessment Weights'!$A:$A,A664))</f>
        <v/>
      </c>
      <c r="AH664" s="12">
        <f>IF(A664="","",IF(COUNTIF($A$2:$A$1000,A664)&gt;1,"Duplicate Job ID",IF(AND(AG664&lt;&gt;100,AG664&lt;&gt;0),"Weights must total 100",IF(Z664-Y664&lt;7,"Closing date must be 7+ days after opening","OK"))))</f>
        <v/>
      </c>
    </row>
    <row r="665">
      <c r="Y665" s="13" t="n"/>
      <c r="Z665" s="13" t="n"/>
      <c r="AF665" s="13" t="n"/>
      <c r="AG665" s="12">
        <f>IF(A665="","",SUMIFS('Assessment Weights'!$D:$D,'Assessment Weights'!$A:$A,A665))</f>
        <v/>
      </c>
      <c r="AH665" s="12">
        <f>IF(A665="","",IF(COUNTIF($A$2:$A$1000,A665)&gt;1,"Duplicate Job ID",IF(AND(AG665&lt;&gt;100,AG665&lt;&gt;0),"Weights must total 100",IF(Z665-Y665&lt;7,"Closing date must be 7+ days after opening","OK"))))</f>
        <v/>
      </c>
    </row>
    <row r="666">
      <c r="Y666" s="13" t="n"/>
      <c r="Z666" s="13" t="n"/>
      <c r="AF666" s="13" t="n"/>
      <c r="AG666" s="12">
        <f>IF(A666="","",SUMIFS('Assessment Weights'!$D:$D,'Assessment Weights'!$A:$A,A666))</f>
        <v/>
      </c>
      <c r="AH666" s="12">
        <f>IF(A666="","",IF(COUNTIF($A$2:$A$1000,A666)&gt;1,"Duplicate Job ID",IF(AND(AG666&lt;&gt;100,AG666&lt;&gt;0),"Weights must total 100",IF(Z666-Y666&lt;7,"Closing date must be 7+ days after opening","OK"))))</f>
        <v/>
      </c>
    </row>
    <row r="667">
      <c r="Y667" s="13" t="n"/>
      <c r="Z667" s="13" t="n"/>
      <c r="AF667" s="13" t="n"/>
      <c r="AG667" s="12">
        <f>IF(A667="","",SUMIFS('Assessment Weights'!$D:$D,'Assessment Weights'!$A:$A,A667))</f>
        <v/>
      </c>
      <c r="AH667" s="12">
        <f>IF(A667="","",IF(COUNTIF($A$2:$A$1000,A667)&gt;1,"Duplicate Job ID",IF(AND(AG667&lt;&gt;100,AG667&lt;&gt;0),"Weights must total 100",IF(Z667-Y667&lt;7,"Closing date must be 7+ days after opening","OK"))))</f>
        <v/>
      </c>
    </row>
    <row r="668">
      <c r="Y668" s="13" t="n"/>
      <c r="Z668" s="13" t="n"/>
      <c r="AF668" s="13" t="n"/>
      <c r="AG668" s="12">
        <f>IF(A668="","",SUMIFS('Assessment Weights'!$D:$D,'Assessment Weights'!$A:$A,A668))</f>
        <v/>
      </c>
      <c r="AH668" s="12">
        <f>IF(A668="","",IF(COUNTIF($A$2:$A$1000,A668)&gt;1,"Duplicate Job ID",IF(AND(AG668&lt;&gt;100,AG668&lt;&gt;0),"Weights must total 100",IF(Z668-Y668&lt;7,"Closing date must be 7+ days after opening","OK"))))</f>
        <v/>
      </c>
    </row>
    <row r="669">
      <c r="Y669" s="13" t="n"/>
      <c r="Z669" s="13" t="n"/>
      <c r="AF669" s="13" t="n"/>
      <c r="AG669" s="12">
        <f>IF(A669="","",SUMIFS('Assessment Weights'!$D:$D,'Assessment Weights'!$A:$A,A669))</f>
        <v/>
      </c>
      <c r="AH669" s="12">
        <f>IF(A669="","",IF(COUNTIF($A$2:$A$1000,A669)&gt;1,"Duplicate Job ID",IF(AND(AG669&lt;&gt;100,AG669&lt;&gt;0),"Weights must total 100",IF(Z669-Y669&lt;7,"Closing date must be 7+ days after opening","OK"))))</f>
        <v/>
      </c>
    </row>
    <row r="670">
      <c r="Y670" s="13" t="n"/>
      <c r="Z670" s="13" t="n"/>
      <c r="AF670" s="13" t="n"/>
      <c r="AG670" s="12">
        <f>IF(A670="","",SUMIFS('Assessment Weights'!$D:$D,'Assessment Weights'!$A:$A,A670))</f>
        <v/>
      </c>
      <c r="AH670" s="12">
        <f>IF(A670="","",IF(COUNTIF($A$2:$A$1000,A670)&gt;1,"Duplicate Job ID",IF(AND(AG670&lt;&gt;100,AG670&lt;&gt;0),"Weights must total 100",IF(Z670-Y670&lt;7,"Closing date must be 7+ days after opening","OK"))))</f>
        <v/>
      </c>
    </row>
    <row r="671">
      <c r="Y671" s="13" t="n"/>
      <c r="Z671" s="13" t="n"/>
      <c r="AF671" s="13" t="n"/>
      <c r="AG671" s="12">
        <f>IF(A671="","",SUMIFS('Assessment Weights'!$D:$D,'Assessment Weights'!$A:$A,A671))</f>
        <v/>
      </c>
      <c r="AH671" s="12">
        <f>IF(A671="","",IF(COUNTIF($A$2:$A$1000,A671)&gt;1,"Duplicate Job ID",IF(AND(AG671&lt;&gt;100,AG671&lt;&gt;0),"Weights must total 100",IF(Z671-Y671&lt;7,"Closing date must be 7+ days after opening","OK"))))</f>
        <v/>
      </c>
    </row>
    <row r="672">
      <c r="Y672" s="13" t="n"/>
      <c r="Z672" s="13" t="n"/>
      <c r="AF672" s="13" t="n"/>
      <c r="AG672" s="12">
        <f>IF(A672="","",SUMIFS('Assessment Weights'!$D:$D,'Assessment Weights'!$A:$A,A672))</f>
        <v/>
      </c>
      <c r="AH672" s="12">
        <f>IF(A672="","",IF(COUNTIF($A$2:$A$1000,A672)&gt;1,"Duplicate Job ID",IF(AND(AG672&lt;&gt;100,AG672&lt;&gt;0),"Weights must total 100",IF(Z672-Y672&lt;7,"Closing date must be 7+ days after opening","OK"))))</f>
        <v/>
      </c>
    </row>
    <row r="673">
      <c r="Y673" s="13" t="n"/>
      <c r="Z673" s="13" t="n"/>
      <c r="AF673" s="13" t="n"/>
      <c r="AG673" s="12">
        <f>IF(A673="","",SUMIFS('Assessment Weights'!$D:$D,'Assessment Weights'!$A:$A,A673))</f>
        <v/>
      </c>
      <c r="AH673" s="12">
        <f>IF(A673="","",IF(COUNTIF($A$2:$A$1000,A673)&gt;1,"Duplicate Job ID",IF(AND(AG673&lt;&gt;100,AG673&lt;&gt;0),"Weights must total 100",IF(Z673-Y673&lt;7,"Closing date must be 7+ days after opening","OK"))))</f>
        <v/>
      </c>
    </row>
    <row r="674">
      <c r="Y674" s="13" t="n"/>
      <c r="Z674" s="13" t="n"/>
      <c r="AF674" s="13" t="n"/>
      <c r="AG674" s="12">
        <f>IF(A674="","",SUMIFS('Assessment Weights'!$D:$D,'Assessment Weights'!$A:$A,A674))</f>
        <v/>
      </c>
      <c r="AH674" s="12">
        <f>IF(A674="","",IF(COUNTIF($A$2:$A$1000,A674)&gt;1,"Duplicate Job ID",IF(AND(AG674&lt;&gt;100,AG674&lt;&gt;0),"Weights must total 100",IF(Z674-Y674&lt;7,"Closing date must be 7+ days after opening","OK"))))</f>
        <v/>
      </c>
    </row>
    <row r="675">
      <c r="Y675" s="13" t="n"/>
      <c r="Z675" s="13" t="n"/>
      <c r="AF675" s="13" t="n"/>
      <c r="AG675" s="12">
        <f>IF(A675="","",SUMIFS('Assessment Weights'!$D:$D,'Assessment Weights'!$A:$A,A675))</f>
        <v/>
      </c>
      <c r="AH675" s="12">
        <f>IF(A675="","",IF(COUNTIF($A$2:$A$1000,A675)&gt;1,"Duplicate Job ID",IF(AND(AG675&lt;&gt;100,AG675&lt;&gt;0),"Weights must total 100",IF(Z675-Y675&lt;7,"Closing date must be 7+ days after opening","OK"))))</f>
        <v/>
      </c>
    </row>
    <row r="676">
      <c r="Y676" s="13" t="n"/>
      <c r="Z676" s="13" t="n"/>
      <c r="AF676" s="13" t="n"/>
      <c r="AG676" s="12">
        <f>IF(A676="","",SUMIFS('Assessment Weights'!$D:$D,'Assessment Weights'!$A:$A,A676))</f>
        <v/>
      </c>
      <c r="AH676" s="12">
        <f>IF(A676="","",IF(COUNTIF($A$2:$A$1000,A676)&gt;1,"Duplicate Job ID",IF(AND(AG676&lt;&gt;100,AG676&lt;&gt;0),"Weights must total 100",IF(Z676-Y676&lt;7,"Closing date must be 7+ days after opening","OK"))))</f>
        <v/>
      </c>
    </row>
    <row r="677">
      <c r="Y677" s="13" t="n"/>
      <c r="Z677" s="13" t="n"/>
      <c r="AF677" s="13" t="n"/>
      <c r="AG677" s="12">
        <f>IF(A677="","",SUMIFS('Assessment Weights'!$D:$D,'Assessment Weights'!$A:$A,A677))</f>
        <v/>
      </c>
      <c r="AH677" s="12">
        <f>IF(A677="","",IF(COUNTIF($A$2:$A$1000,A677)&gt;1,"Duplicate Job ID",IF(AND(AG677&lt;&gt;100,AG677&lt;&gt;0),"Weights must total 100",IF(Z677-Y677&lt;7,"Closing date must be 7+ days after opening","OK"))))</f>
        <v/>
      </c>
    </row>
    <row r="678">
      <c r="Y678" s="13" t="n"/>
      <c r="Z678" s="13" t="n"/>
      <c r="AF678" s="13" t="n"/>
      <c r="AG678" s="12">
        <f>IF(A678="","",SUMIFS('Assessment Weights'!$D:$D,'Assessment Weights'!$A:$A,A678))</f>
        <v/>
      </c>
      <c r="AH678" s="12">
        <f>IF(A678="","",IF(COUNTIF($A$2:$A$1000,A678)&gt;1,"Duplicate Job ID",IF(AND(AG678&lt;&gt;100,AG678&lt;&gt;0),"Weights must total 100",IF(Z678-Y678&lt;7,"Closing date must be 7+ days after opening","OK"))))</f>
        <v/>
      </c>
    </row>
    <row r="679">
      <c r="Y679" s="13" t="n"/>
      <c r="Z679" s="13" t="n"/>
      <c r="AF679" s="13" t="n"/>
      <c r="AG679" s="12">
        <f>IF(A679="","",SUMIFS('Assessment Weights'!$D:$D,'Assessment Weights'!$A:$A,A679))</f>
        <v/>
      </c>
      <c r="AH679" s="12">
        <f>IF(A679="","",IF(COUNTIF($A$2:$A$1000,A679)&gt;1,"Duplicate Job ID",IF(AND(AG679&lt;&gt;100,AG679&lt;&gt;0),"Weights must total 100",IF(Z679-Y679&lt;7,"Closing date must be 7+ days after opening","OK"))))</f>
        <v/>
      </c>
    </row>
    <row r="680">
      <c r="Y680" s="13" t="n"/>
      <c r="Z680" s="13" t="n"/>
      <c r="AF680" s="13" t="n"/>
      <c r="AG680" s="12">
        <f>IF(A680="","",SUMIFS('Assessment Weights'!$D:$D,'Assessment Weights'!$A:$A,A680))</f>
        <v/>
      </c>
      <c r="AH680" s="12">
        <f>IF(A680="","",IF(COUNTIF($A$2:$A$1000,A680)&gt;1,"Duplicate Job ID",IF(AND(AG680&lt;&gt;100,AG680&lt;&gt;0),"Weights must total 100",IF(Z680-Y680&lt;7,"Closing date must be 7+ days after opening","OK"))))</f>
        <v/>
      </c>
    </row>
    <row r="681">
      <c r="Y681" s="13" t="n"/>
      <c r="Z681" s="13" t="n"/>
      <c r="AF681" s="13" t="n"/>
      <c r="AG681" s="12">
        <f>IF(A681="","",SUMIFS('Assessment Weights'!$D:$D,'Assessment Weights'!$A:$A,A681))</f>
        <v/>
      </c>
      <c r="AH681" s="12">
        <f>IF(A681="","",IF(COUNTIF($A$2:$A$1000,A681)&gt;1,"Duplicate Job ID",IF(AND(AG681&lt;&gt;100,AG681&lt;&gt;0),"Weights must total 100",IF(Z681-Y681&lt;7,"Closing date must be 7+ days after opening","OK"))))</f>
        <v/>
      </c>
    </row>
    <row r="682">
      <c r="Y682" s="13" t="n"/>
      <c r="Z682" s="13" t="n"/>
      <c r="AF682" s="13" t="n"/>
      <c r="AG682" s="12">
        <f>IF(A682="","",SUMIFS('Assessment Weights'!$D:$D,'Assessment Weights'!$A:$A,A682))</f>
        <v/>
      </c>
      <c r="AH682" s="12">
        <f>IF(A682="","",IF(COUNTIF($A$2:$A$1000,A682)&gt;1,"Duplicate Job ID",IF(AND(AG682&lt;&gt;100,AG682&lt;&gt;0),"Weights must total 100",IF(Z682-Y682&lt;7,"Closing date must be 7+ days after opening","OK"))))</f>
        <v/>
      </c>
    </row>
    <row r="683">
      <c r="Y683" s="13" t="n"/>
      <c r="Z683" s="13" t="n"/>
      <c r="AF683" s="13" t="n"/>
      <c r="AG683" s="12">
        <f>IF(A683="","",SUMIFS('Assessment Weights'!$D:$D,'Assessment Weights'!$A:$A,A683))</f>
        <v/>
      </c>
      <c r="AH683" s="12">
        <f>IF(A683="","",IF(COUNTIF($A$2:$A$1000,A683)&gt;1,"Duplicate Job ID",IF(AND(AG683&lt;&gt;100,AG683&lt;&gt;0),"Weights must total 100",IF(Z683-Y683&lt;7,"Closing date must be 7+ days after opening","OK"))))</f>
        <v/>
      </c>
    </row>
    <row r="684">
      <c r="Y684" s="13" t="n"/>
      <c r="Z684" s="13" t="n"/>
      <c r="AF684" s="13" t="n"/>
      <c r="AG684" s="12">
        <f>IF(A684="","",SUMIFS('Assessment Weights'!$D:$D,'Assessment Weights'!$A:$A,A684))</f>
        <v/>
      </c>
      <c r="AH684" s="12">
        <f>IF(A684="","",IF(COUNTIF($A$2:$A$1000,A684)&gt;1,"Duplicate Job ID",IF(AND(AG684&lt;&gt;100,AG684&lt;&gt;0),"Weights must total 100",IF(Z684-Y684&lt;7,"Closing date must be 7+ days after opening","OK"))))</f>
        <v/>
      </c>
    </row>
    <row r="685">
      <c r="Y685" s="13" t="n"/>
      <c r="Z685" s="13" t="n"/>
      <c r="AF685" s="13" t="n"/>
      <c r="AG685" s="12">
        <f>IF(A685="","",SUMIFS('Assessment Weights'!$D:$D,'Assessment Weights'!$A:$A,A685))</f>
        <v/>
      </c>
      <c r="AH685" s="12">
        <f>IF(A685="","",IF(COUNTIF($A$2:$A$1000,A685)&gt;1,"Duplicate Job ID",IF(AND(AG685&lt;&gt;100,AG685&lt;&gt;0),"Weights must total 100",IF(Z685-Y685&lt;7,"Closing date must be 7+ days after opening","OK"))))</f>
        <v/>
      </c>
    </row>
    <row r="686">
      <c r="Y686" s="13" t="n"/>
      <c r="Z686" s="13" t="n"/>
      <c r="AF686" s="13" t="n"/>
      <c r="AG686" s="12">
        <f>IF(A686="","",SUMIFS('Assessment Weights'!$D:$D,'Assessment Weights'!$A:$A,A686))</f>
        <v/>
      </c>
      <c r="AH686" s="12">
        <f>IF(A686="","",IF(COUNTIF($A$2:$A$1000,A686)&gt;1,"Duplicate Job ID",IF(AND(AG686&lt;&gt;100,AG686&lt;&gt;0),"Weights must total 100",IF(Z686-Y686&lt;7,"Closing date must be 7+ days after opening","OK"))))</f>
        <v/>
      </c>
    </row>
    <row r="687">
      <c r="Y687" s="13" t="n"/>
      <c r="Z687" s="13" t="n"/>
      <c r="AF687" s="13" t="n"/>
      <c r="AG687" s="12">
        <f>IF(A687="","",SUMIFS('Assessment Weights'!$D:$D,'Assessment Weights'!$A:$A,A687))</f>
        <v/>
      </c>
      <c r="AH687" s="12">
        <f>IF(A687="","",IF(COUNTIF($A$2:$A$1000,A687)&gt;1,"Duplicate Job ID",IF(AND(AG687&lt;&gt;100,AG687&lt;&gt;0),"Weights must total 100",IF(Z687-Y687&lt;7,"Closing date must be 7+ days after opening","OK"))))</f>
        <v/>
      </c>
    </row>
    <row r="688">
      <c r="Y688" s="13" t="n"/>
      <c r="Z688" s="13" t="n"/>
      <c r="AF688" s="13" t="n"/>
      <c r="AG688" s="12">
        <f>IF(A688="","",SUMIFS('Assessment Weights'!$D:$D,'Assessment Weights'!$A:$A,A688))</f>
        <v/>
      </c>
      <c r="AH688" s="12">
        <f>IF(A688="","",IF(COUNTIF($A$2:$A$1000,A688)&gt;1,"Duplicate Job ID",IF(AND(AG688&lt;&gt;100,AG688&lt;&gt;0),"Weights must total 100",IF(Z688-Y688&lt;7,"Closing date must be 7+ days after opening","OK"))))</f>
        <v/>
      </c>
    </row>
    <row r="689">
      <c r="Y689" s="13" t="n"/>
      <c r="Z689" s="13" t="n"/>
      <c r="AF689" s="13" t="n"/>
      <c r="AG689" s="12">
        <f>IF(A689="","",SUMIFS('Assessment Weights'!$D:$D,'Assessment Weights'!$A:$A,A689))</f>
        <v/>
      </c>
      <c r="AH689" s="12">
        <f>IF(A689="","",IF(COUNTIF($A$2:$A$1000,A689)&gt;1,"Duplicate Job ID",IF(AND(AG689&lt;&gt;100,AG689&lt;&gt;0),"Weights must total 100",IF(Z689-Y689&lt;7,"Closing date must be 7+ days after opening","OK"))))</f>
        <v/>
      </c>
    </row>
    <row r="690">
      <c r="Y690" s="13" t="n"/>
      <c r="Z690" s="13" t="n"/>
      <c r="AF690" s="13" t="n"/>
      <c r="AG690" s="12">
        <f>IF(A690="","",SUMIFS('Assessment Weights'!$D:$D,'Assessment Weights'!$A:$A,A690))</f>
        <v/>
      </c>
      <c r="AH690" s="12">
        <f>IF(A690="","",IF(COUNTIF($A$2:$A$1000,A690)&gt;1,"Duplicate Job ID",IF(AND(AG690&lt;&gt;100,AG690&lt;&gt;0),"Weights must total 100",IF(Z690-Y690&lt;7,"Closing date must be 7+ days after opening","OK"))))</f>
        <v/>
      </c>
    </row>
    <row r="691">
      <c r="Y691" s="13" t="n"/>
      <c r="Z691" s="13" t="n"/>
      <c r="AF691" s="13" t="n"/>
      <c r="AG691" s="12">
        <f>IF(A691="","",SUMIFS('Assessment Weights'!$D:$D,'Assessment Weights'!$A:$A,A691))</f>
        <v/>
      </c>
      <c r="AH691" s="12">
        <f>IF(A691="","",IF(COUNTIF($A$2:$A$1000,A691)&gt;1,"Duplicate Job ID",IF(AND(AG691&lt;&gt;100,AG691&lt;&gt;0),"Weights must total 100",IF(Z691-Y691&lt;7,"Closing date must be 7+ days after opening","OK"))))</f>
        <v/>
      </c>
    </row>
    <row r="692">
      <c r="Y692" s="13" t="n"/>
      <c r="Z692" s="13" t="n"/>
      <c r="AF692" s="13" t="n"/>
      <c r="AG692" s="12">
        <f>IF(A692="","",SUMIFS('Assessment Weights'!$D:$D,'Assessment Weights'!$A:$A,A692))</f>
        <v/>
      </c>
      <c r="AH692" s="12">
        <f>IF(A692="","",IF(COUNTIF($A$2:$A$1000,A692)&gt;1,"Duplicate Job ID",IF(AND(AG692&lt;&gt;100,AG692&lt;&gt;0),"Weights must total 100",IF(Z692-Y692&lt;7,"Closing date must be 7+ days after opening","OK"))))</f>
        <v/>
      </c>
    </row>
    <row r="693">
      <c r="Y693" s="13" t="n"/>
      <c r="Z693" s="13" t="n"/>
      <c r="AF693" s="13" t="n"/>
      <c r="AG693" s="12">
        <f>IF(A693="","",SUMIFS('Assessment Weights'!$D:$D,'Assessment Weights'!$A:$A,A693))</f>
        <v/>
      </c>
      <c r="AH693" s="12">
        <f>IF(A693="","",IF(COUNTIF($A$2:$A$1000,A693)&gt;1,"Duplicate Job ID",IF(AND(AG693&lt;&gt;100,AG693&lt;&gt;0),"Weights must total 100",IF(Z693-Y693&lt;7,"Closing date must be 7+ days after opening","OK"))))</f>
        <v/>
      </c>
    </row>
    <row r="694">
      <c r="Y694" s="13" t="n"/>
      <c r="Z694" s="13" t="n"/>
      <c r="AF694" s="13" t="n"/>
      <c r="AG694" s="12">
        <f>IF(A694="","",SUMIFS('Assessment Weights'!$D:$D,'Assessment Weights'!$A:$A,A694))</f>
        <v/>
      </c>
      <c r="AH694" s="12">
        <f>IF(A694="","",IF(COUNTIF($A$2:$A$1000,A694)&gt;1,"Duplicate Job ID",IF(AND(AG694&lt;&gt;100,AG694&lt;&gt;0),"Weights must total 100",IF(Z694-Y694&lt;7,"Closing date must be 7+ days after opening","OK"))))</f>
        <v/>
      </c>
    </row>
    <row r="695">
      <c r="Y695" s="13" t="n"/>
      <c r="Z695" s="13" t="n"/>
      <c r="AF695" s="13" t="n"/>
      <c r="AG695" s="12">
        <f>IF(A695="","",SUMIFS('Assessment Weights'!$D:$D,'Assessment Weights'!$A:$A,A695))</f>
        <v/>
      </c>
      <c r="AH695" s="12">
        <f>IF(A695="","",IF(COUNTIF($A$2:$A$1000,A695)&gt;1,"Duplicate Job ID",IF(AND(AG695&lt;&gt;100,AG695&lt;&gt;0),"Weights must total 100",IF(Z695-Y695&lt;7,"Closing date must be 7+ days after opening","OK"))))</f>
        <v/>
      </c>
    </row>
    <row r="696">
      <c r="Y696" s="13" t="n"/>
      <c r="Z696" s="13" t="n"/>
      <c r="AF696" s="13" t="n"/>
      <c r="AG696" s="12">
        <f>IF(A696="","",SUMIFS('Assessment Weights'!$D:$D,'Assessment Weights'!$A:$A,A696))</f>
        <v/>
      </c>
      <c r="AH696" s="12">
        <f>IF(A696="","",IF(COUNTIF($A$2:$A$1000,A696)&gt;1,"Duplicate Job ID",IF(AND(AG696&lt;&gt;100,AG696&lt;&gt;0),"Weights must total 100",IF(Z696-Y696&lt;7,"Closing date must be 7+ days after opening","OK"))))</f>
        <v/>
      </c>
    </row>
    <row r="697">
      <c r="Y697" s="13" t="n"/>
      <c r="Z697" s="13" t="n"/>
      <c r="AF697" s="13" t="n"/>
      <c r="AG697" s="12">
        <f>IF(A697="","",SUMIFS('Assessment Weights'!$D:$D,'Assessment Weights'!$A:$A,A697))</f>
        <v/>
      </c>
      <c r="AH697" s="12">
        <f>IF(A697="","",IF(COUNTIF($A$2:$A$1000,A697)&gt;1,"Duplicate Job ID",IF(AND(AG697&lt;&gt;100,AG697&lt;&gt;0),"Weights must total 100",IF(Z697-Y697&lt;7,"Closing date must be 7+ days after opening","OK"))))</f>
        <v/>
      </c>
    </row>
    <row r="698">
      <c r="Y698" s="13" t="n"/>
      <c r="Z698" s="13" t="n"/>
      <c r="AF698" s="13" t="n"/>
      <c r="AG698" s="12">
        <f>IF(A698="","",SUMIFS('Assessment Weights'!$D:$D,'Assessment Weights'!$A:$A,A698))</f>
        <v/>
      </c>
      <c r="AH698" s="12">
        <f>IF(A698="","",IF(COUNTIF($A$2:$A$1000,A698)&gt;1,"Duplicate Job ID",IF(AND(AG698&lt;&gt;100,AG698&lt;&gt;0),"Weights must total 100",IF(Z698-Y698&lt;7,"Closing date must be 7+ days after opening","OK"))))</f>
        <v/>
      </c>
    </row>
    <row r="699">
      <c r="Y699" s="13" t="n"/>
      <c r="Z699" s="13" t="n"/>
      <c r="AF699" s="13" t="n"/>
      <c r="AG699" s="12">
        <f>IF(A699="","",SUMIFS('Assessment Weights'!$D:$D,'Assessment Weights'!$A:$A,A699))</f>
        <v/>
      </c>
      <c r="AH699" s="12">
        <f>IF(A699="","",IF(COUNTIF($A$2:$A$1000,A699)&gt;1,"Duplicate Job ID",IF(AND(AG699&lt;&gt;100,AG699&lt;&gt;0),"Weights must total 100",IF(Z699-Y699&lt;7,"Closing date must be 7+ days after opening","OK"))))</f>
        <v/>
      </c>
    </row>
    <row r="700">
      <c r="Y700" s="13" t="n"/>
      <c r="Z700" s="13" t="n"/>
      <c r="AF700" s="13" t="n"/>
      <c r="AG700" s="12">
        <f>IF(A700="","",SUMIFS('Assessment Weights'!$D:$D,'Assessment Weights'!$A:$A,A700))</f>
        <v/>
      </c>
      <c r="AH700" s="12">
        <f>IF(A700="","",IF(COUNTIF($A$2:$A$1000,A700)&gt;1,"Duplicate Job ID",IF(AND(AG700&lt;&gt;100,AG700&lt;&gt;0),"Weights must total 100",IF(Z700-Y700&lt;7,"Closing date must be 7+ days after opening","OK"))))</f>
        <v/>
      </c>
    </row>
    <row r="701">
      <c r="Y701" s="13" t="n"/>
      <c r="Z701" s="13" t="n"/>
      <c r="AF701" s="13" t="n"/>
      <c r="AG701" s="12">
        <f>IF(A701="","",SUMIFS('Assessment Weights'!$D:$D,'Assessment Weights'!$A:$A,A701))</f>
        <v/>
      </c>
      <c r="AH701" s="12">
        <f>IF(A701="","",IF(COUNTIF($A$2:$A$1000,A701)&gt;1,"Duplicate Job ID",IF(AND(AG701&lt;&gt;100,AG701&lt;&gt;0),"Weights must total 100",IF(Z701-Y701&lt;7,"Closing date must be 7+ days after opening","OK"))))</f>
        <v/>
      </c>
    </row>
    <row r="702">
      <c r="Y702" s="13" t="n"/>
      <c r="Z702" s="13" t="n"/>
      <c r="AF702" s="13" t="n"/>
      <c r="AG702" s="12">
        <f>IF(A702="","",SUMIFS('Assessment Weights'!$D:$D,'Assessment Weights'!$A:$A,A702))</f>
        <v/>
      </c>
      <c r="AH702" s="12">
        <f>IF(A702="","",IF(COUNTIF($A$2:$A$1000,A702)&gt;1,"Duplicate Job ID",IF(AND(AG702&lt;&gt;100,AG702&lt;&gt;0),"Weights must total 100",IF(Z702-Y702&lt;7,"Closing date must be 7+ days after opening","OK"))))</f>
        <v/>
      </c>
    </row>
    <row r="703">
      <c r="Y703" s="13" t="n"/>
      <c r="Z703" s="13" t="n"/>
      <c r="AF703" s="13" t="n"/>
      <c r="AG703" s="12">
        <f>IF(A703="","",SUMIFS('Assessment Weights'!$D:$D,'Assessment Weights'!$A:$A,A703))</f>
        <v/>
      </c>
      <c r="AH703" s="12">
        <f>IF(A703="","",IF(COUNTIF($A$2:$A$1000,A703)&gt;1,"Duplicate Job ID",IF(AND(AG703&lt;&gt;100,AG703&lt;&gt;0),"Weights must total 100",IF(Z703-Y703&lt;7,"Closing date must be 7+ days after opening","OK"))))</f>
        <v/>
      </c>
    </row>
    <row r="704">
      <c r="Y704" s="13" t="n"/>
      <c r="Z704" s="13" t="n"/>
      <c r="AF704" s="13" t="n"/>
      <c r="AG704" s="12">
        <f>IF(A704="","",SUMIFS('Assessment Weights'!$D:$D,'Assessment Weights'!$A:$A,A704))</f>
        <v/>
      </c>
      <c r="AH704" s="12">
        <f>IF(A704="","",IF(COUNTIF($A$2:$A$1000,A704)&gt;1,"Duplicate Job ID",IF(AND(AG704&lt;&gt;100,AG704&lt;&gt;0),"Weights must total 100",IF(Z704-Y704&lt;7,"Closing date must be 7+ days after opening","OK"))))</f>
        <v/>
      </c>
    </row>
    <row r="705">
      <c r="Y705" s="13" t="n"/>
      <c r="Z705" s="13" t="n"/>
      <c r="AF705" s="13" t="n"/>
      <c r="AG705" s="12">
        <f>IF(A705="","",SUMIFS('Assessment Weights'!$D:$D,'Assessment Weights'!$A:$A,A705))</f>
        <v/>
      </c>
      <c r="AH705" s="12">
        <f>IF(A705="","",IF(COUNTIF($A$2:$A$1000,A705)&gt;1,"Duplicate Job ID",IF(AND(AG705&lt;&gt;100,AG705&lt;&gt;0),"Weights must total 100",IF(Z705-Y705&lt;7,"Closing date must be 7+ days after opening","OK"))))</f>
        <v/>
      </c>
    </row>
    <row r="706">
      <c r="Y706" s="13" t="n"/>
      <c r="Z706" s="13" t="n"/>
      <c r="AF706" s="13" t="n"/>
      <c r="AG706" s="12">
        <f>IF(A706="","",SUMIFS('Assessment Weights'!$D:$D,'Assessment Weights'!$A:$A,A706))</f>
        <v/>
      </c>
      <c r="AH706" s="12">
        <f>IF(A706="","",IF(COUNTIF($A$2:$A$1000,A706)&gt;1,"Duplicate Job ID",IF(AND(AG706&lt;&gt;100,AG706&lt;&gt;0),"Weights must total 100",IF(Z706-Y706&lt;7,"Closing date must be 7+ days after opening","OK"))))</f>
        <v/>
      </c>
    </row>
    <row r="707">
      <c r="Y707" s="13" t="n"/>
      <c r="Z707" s="13" t="n"/>
      <c r="AF707" s="13" t="n"/>
      <c r="AG707" s="12">
        <f>IF(A707="","",SUMIFS('Assessment Weights'!$D:$D,'Assessment Weights'!$A:$A,A707))</f>
        <v/>
      </c>
      <c r="AH707" s="12">
        <f>IF(A707="","",IF(COUNTIF($A$2:$A$1000,A707)&gt;1,"Duplicate Job ID",IF(AND(AG707&lt;&gt;100,AG707&lt;&gt;0),"Weights must total 100",IF(Z707-Y707&lt;7,"Closing date must be 7+ days after opening","OK"))))</f>
        <v/>
      </c>
    </row>
    <row r="708">
      <c r="Y708" s="13" t="n"/>
      <c r="Z708" s="13" t="n"/>
      <c r="AF708" s="13" t="n"/>
      <c r="AG708" s="12">
        <f>IF(A708="","",SUMIFS('Assessment Weights'!$D:$D,'Assessment Weights'!$A:$A,A708))</f>
        <v/>
      </c>
      <c r="AH708" s="12">
        <f>IF(A708="","",IF(COUNTIF($A$2:$A$1000,A708)&gt;1,"Duplicate Job ID",IF(AND(AG708&lt;&gt;100,AG708&lt;&gt;0),"Weights must total 100",IF(Z708-Y708&lt;7,"Closing date must be 7+ days after opening","OK"))))</f>
        <v/>
      </c>
    </row>
    <row r="709">
      <c r="Y709" s="13" t="n"/>
      <c r="Z709" s="13" t="n"/>
      <c r="AF709" s="13" t="n"/>
      <c r="AG709" s="12">
        <f>IF(A709="","",SUMIFS('Assessment Weights'!$D:$D,'Assessment Weights'!$A:$A,A709))</f>
        <v/>
      </c>
      <c r="AH709" s="12">
        <f>IF(A709="","",IF(COUNTIF($A$2:$A$1000,A709)&gt;1,"Duplicate Job ID",IF(AND(AG709&lt;&gt;100,AG709&lt;&gt;0),"Weights must total 100",IF(Z709-Y709&lt;7,"Closing date must be 7+ days after opening","OK"))))</f>
        <v/>
      </c>
    </row>
    <row r="710">
      <c r="Y710" s="13" t="n"/>
      <c r="Z710" s="13" t="n"/>
      <c r="AF710" s="13" t="n"/>
      <c r="AG710" s="12">
        <f>IF(A710="","",SUMIFS('Assessment Weights'!$D:$D,'Assessment Weights'!$A:$A,A710))</f>
        <v/>
      </c>
      <c r="AH710" s="12">
        <f>IF(A710="","",IF(COUNTIF($A$2:$A$1000,A710)&gt;1,"Duplicate Job ID",IF(AND(AG710&lt;&gt;100,AG710&lt;&gt;0),"Weights must total 100",IF(Z710-Y710&lt;7,"Closing date must be 7+ days after opening","OK"))))</f>
        <v/>
      </c>
    </row>
    <row r="711">
      <c r="Y711" s="13" t="n"/>
      <c r="Z711" s="13" t="n"/>
      <c r="AF711" s="13" t="n"/>
      <c r="AG711" s="12">
        <f>IF(A711="","",SUMIFS('Assessment Weights'!$D:$D,'Assessment Weights'!$A:$A,A711))</f>
        <v/>
      </c>
      <c r="AH711" s="12">
        <f>IF(A711="","",IF(COUNTIF($A$2:$A$1000,A711)&gt;1,"Duplicate Job ID",IF(AND(AG711&lt;&gt;100,AG711&lt;&gt;0),"Weights must total 100",IF(Z711-Y711&lt;7,"Closing date must be 7+ days after opening","OK"))))</f>
        <v/>
      </c>
    </row>
    <row r="712">
      <c r="Y712" s="13" t="n"/>
      <c r="Z712" s="13" t="n"/>
      <c r="AF712" s="13" t="n"/>
      <c r="AG712" s="12">
        <f>IF(A712="","",SUMIFS('Assessment Weights'!$D:$D,'Assessment Weights'!$A:$A,A712))</f>
        <v/>
      </c>
      <c r="AH712" s="12">
        <f>IF(A712="","",IF(COUNTIF($A$2:$A$1000,A712)&gt;1,"Duplicate Job ID",IF(AND(AG712&lt;&gt;100,AG712&lt;&gt;0),"Weights must total 100",IF(Z712-Y712&lt;7,"Closing date must be 7+ days after opening","OK"))))</f>
        <v/>
      </c>
    </row>
    <row r="713">
      <c r="Y713" s="13" t="n"/>
      <c r="Z713" s="13" t="n"/>
      <c r="AF713" s="13" t="n"/>
      <c r="AG713" s="12">
        <f>IF(A713="","",SUMIFS('Assessment Weights'!$D:$D,'Assessment Weights'!$A:$A,A713))</f>
        <v/>
      </c>
      <c r="AH713" s="12">
        <f>IF(A713="","",IF(COUNTIF($A$2:$A$1000,A713)&gt;1,"Duplicate Job ID",IF(AND(AG713&lt;&gt;100,AG713&lt;&gt;0),"Weights must total 100",IF(Z713-Y713&lt;7,"Closing date must be 7+ days after opening","OK"))))</f>
        <v/>
      </c>
    </row>
    <row r="714">
      <c r="Y714" s="13" t="n"/>
      <c r="Z714" s="13" t="n"/>
      <c r="AF714" s="13" t="n"/>
      <c r="AG714" s="12">
        <f>IF(A714="","",SUMIFS('Assessment Weights'!$D:$D,'Assessment Weights'!$A:$A,A714))</f>
        <v/>
      </c>
      <c r="AH714" s="12">
        <f>IF(A714="","",IF(COUNTIF($A$2:$A$1000,A714)&gt;1,"Duplicate Job ID",IF(AND(AG714&lt;&gt;100,AG714&lt;&gt;0),"Weights must total 100",IF(Z714-Y714&lt;7,"Closing date must be 7+ days after opening","OK"))))</f>
        <v/>
      </c>
    </row>
    <row r="715">
      <c r="Y715" s="13" t="n"/>
      <c r="Z715" s="13" t="n"/>
      <c r="AF715" s="13" t="n"/>
      <c r="AG715" s="12">
        <f>IF(A715="","",SUMIFS('Assessment Weights'!$D:$D,'Assessment Weights'!$A:$A,A715))</f>
        <v/>
      </c>
      <c r="AH715" s="12">
        <f>IF(A715="","",IF(COUNTIF($A$2:$A$1000,A715)&gt;1,"Duplicate Job ID",IF(AND(AG715&lt;&gt;100,AG715&lt;&gt;0),"Weights must total 100",IF(Z715-Y715&lt;7,"Closing date must be 7+ days after opening","OK"))))</f>
        <v/>
      </c>
    </row>
    <row r="716">
      <c r="Y716" s="13" t="n"/>
      <c r="Z716" s="13" t="n"/>
      <c r="AF716" s="13" t="n"/>
      <c r="AG716" s="12">
        <f>IF(A716="","",SUMIFS('Assessment Weights'!$D:$D,'Assessment Weights'!$A:$A,A716))</f>
        <v/>
      </c>
      <c r="AH716" s="12">
        <f>IF(A716="","",IF(COUNTIF($A$2:$A$1000,A716)&gt;1,"Duplicate Job ID",IF(AND(AG716&lt;&gt;100,AG716&lt;&gt;0),"Weights must total 100",IF(Z716-Y716&lt;7,"Closing date must be 7+ days after opening","OK"))))</f>
        <v/>
      </c>
    </row>
    <row r="717">
      <c r="Y717" s="13" t="n"/>
      <c r="Z717" s="13" t="n"/>
      <c r="AF717" s="13" t="n"/>
      <c r="AG717" s="12">
        <f>IF(A717="","",SUMIFS('Assessment Weights'!$D:$D,'Assessment Weights'!$A:$A,A717))</f>
        <v/>
      </c>
      <c r="AH717" s="12">
        <f>IF(A717="","",IF(COUNTIF($A$2:$A$1000,A717)&gt;1,"Duplicate Job ID",IF(AND(AG717&lt;&gt;100,AG717&lt;&gt;0),"Weights must total 100",IF(Z717-Y717&lt;7,"Closing date must be 7+ days after opening","OK"))))</f>
        <v/>
      </c>
    </row>
    <row r="718">
      <c r="Y718" s="13" t="n"/>
      <c r="Z718" s="13" t="n"/>
      <c r="AF718" s="13" t="n"/>
      <c r="AG718" s="12">
        <f>IF(A718="","",SUMIFS('Assessment Weights'!$D:$D,'Assessment Weights'!$A:$A,A718))</f>
        <v/>
      </c>
      <c r="AH718" s="12">
        <f>IF(A718="","",IF(COUNTIF($A$2:$A$1000,A718)&gt;1,"Duplicate Job ID",IF(AND(AG718&lt;&gt;100,AG718&lt;&gt;0),"Weights must total 100",IF(Z718-Y718&lt;7,"Closing date must be 7+ days after opening","OK"))))</f>
        <v/>
      </c>
    </row>
    <row r="719">
      <c r="Y719" s="13" t="n"/>
      <c r="Z719" s="13" t="n"/>
      <c r="AF719" s="13" t="n"/>
      <c r="AG719" s="12">
        <f>IF(A719="","",SUMIFS('Assessment Weights'!$D:$D,'Assessment Weights'!$A:$A,A719))</f>
        <v/>
      </c>
      <c r="AH719" s="12">
        <f>IF(A719="","",IF(COUNTIF($A$2:$A$1000,A719)&gt;1,"Duplicate Job ID",IF(AND(AG719&lt;&gt;100,AG719&lt;&gt;0),"Weights must total 100",IF(Z719-Y719&lt;7,"Closing date must be 7+ days after opening","OK"))))</f>
        <v/>
      </c>
    </row>
    <row r="720">
      <c r="Y720" s="13" t="n"/>
      <c r="Z720" s="13" t="n"/>
      <c r="AF720" s="13" t="n"/>
      <c r="AG720" s="12">
        <f>IF(A720="","",SUMIFS('Assessment Weights'!$D:$D,'Assessment Weights'!$A:$A,A720))</f>
        <v/>
      </c>
      <c r="AH720" s="12">
        <f>IF(A720="","",IF(COUNTIF($A$2:$A$1000,A720)&gt;1,"Duplicate Job ID",IF(AND(AG720&lt;&gt;100,AG720&lt;&gt;0),"Weights must total 100",IF(Z720-Y720&lt;7,"Closing date must be 7+ days after opening","OK"))))</f>
        <v/>
      </c>
    </row>
    <row r="721">
      <c r="Y721" s="13" t="n"/>
      <c r="Z721" s="13" t="n"/>
      <c r="AF721" s="13" t="n"/>
      <c r="AG721" s="12">
        <f>IF(A721="","",SUMIFS('Assessment Weights'!$D:$D,'Assessment Weights'!$A:$A,A721))</f>
        <v/>
      </c>
      <c r="AH721" s="12">
        <f>IF(A721="","",IF(COUNTIF($A$2:$A$1000,A721)&gt;1,"Duplicate Job ID",IF(AND(AG721&lt;&gt;100,AG721&lt;&gt;0),"Weights must total 100",IF(Z721-Y721&lt;7,"Closing date must be 7+ days after opening","OK"))))</f>
        <v/>
      </c>
    </row>
    <row r="722">
      <c r="Y722" s="13" t="n"/>
      <c r="Z722" s="13" t="n"/>
      <c r="AF722" s="13" t="n"/>
      <c r="AG722" s="12">
        <f>IF(A722="","",SUMIFS('Assessment Weights'!$D:$D,'Assessment Weights'!$A:$A,A722))</f>
        <v/>
      </c>
      <c r="AH722" s="12">
        <f>IF(A722="","",IF(COUNTIF($A$2:$A$1000,A722)&gt;1,"Duplicate Job ID",IF(AND(AG722&lt;&gt;100,AG722&lt;&gt;0),"Weights must total 100",IF(Z722-Y722&lt;7,"Closing date must be 7+ days after opening","OK"))))</f>
        <v/>
      </c>
    </row>
    <row r="723">
      <c r="Y723" s="13" t="n"/>
      <c r="Z723" s="13" t="n"/>
      <c r="AF723" s="13" t="n"/>
      <c r="AG723" s="12">
        <f>IF(A723="","",SUMIFS('Assessment Weights'!$D:$D,'Assessment Weights'!$A:$A,A723))</f>
        <v/>
      </c>
      <c r="AH723" s="12">
        <f>IF(A723="","",IF(COUNTIF($A$2:$A$1000,A723)&gt;1,"Duplicate Job ID",IF(AND(AG723&lt;&gt;100,AG723&lt;&gt;0),"Weights must total 100",IF(Z723-Y723&lt;7,"Closing date must be 7+ days after opening","OK"))))</f>
        <v/>
      </c>
    </row>
    <row r="724">
      <c r="Y724" s="13" t="n"/>
      <c r="Z724" s="13" t="n"/>
      <c r="AF724" s="13" t="n"/>
      <c r="AG724" s="12">
        <f>IF(A724="","",SUMIFS('Assessment Weights'!$D:$D,'Assessment Weights'!$A:$A,A724))</f>
        <v/>
      </c>
      <c r="AH724" s="12">
        <f>IF(A724="","",IF(COUNTIF($A$2:$A$1000,A724)&gt;1,"Duplicate Job ID",IF(AND(AG724&lt;&gt;100,AG724&lt;&gt;0),"Weights must total 100",IF(Z724-Y724&lt;7,"Closing date must be 7+ days after opening","OK"))))</f>
        <v/>
      </c>
    </row>
    <row r="725">
      <c r="Y725" s="13" t="n"/>
      <c r="Z725" s="13" t="n"/>
      <c r="AF725" s="13" t="n"/>
      <c r="AG725" s="12">
        <f>IF(A725="","",SUMIFS('Assessment Weights'!$D:$D,'Assessment Weights'!$A:$A,A725))</f>
        <v/>
      </c>
      <c r="AH725" s="12">
        <f>IF(A725="","",IF(COUNTIF($A$2:$A$1000,A725)&gt;1,"Duplicate Job ID",IF(AND(AG725&lt;&gt;100,AG725&lt;&gt;0),"Weights must total 100",IF(Z725-Y725&lt;7,"Closing date must be 7+ days after opening","OK"))))</f>
        <v/>
      </c>
    </row>
    <row r="726">
      <c r="Y726" s="13" t="n"/>
      <c r="Z726" s="13" t="n"/>
      <c r="AF726" s="13" t="n"/>
      <c r="AG726" s="12">
        <f>IF(A726="","",SUMIFS('Assessment Weights'!$D:$D,'Assessment Weights'!$A:$A,A726))</f>
        <v/>
      </c>
      <c r="AH726" s="12">
        <f>IF(A726="","",IF(COUNTIF($A$2:$A$1000,A726)&gt;1,"Duplicate Job ID",IF(AND(AG726&lt;&gt;100,AG726&lt;&gt;0),"Weights must total 100",IF(Z726-Y726&lt;7,"Closing date must be 7+ days after opening","OK"))))</f>
        <v/>
      </c>
    </row>
    <row r="727">
      <c r="Y727" s="13" t="n"/>
      <c r="Z727" s="13" t="n"/>
      <c r="AF727" s="13" t="n"/>
      <c r="AG727" s="12">
        <f>IF(A727="","",SUMIFS('Assessment Weights'!$D:$D,'Assessment Weights'!$A:$A,A727))</f>
        <v/>
      </c>
      <c r="AH727" s="12">
        <f>IF(A727="","",IF(COUNTIF($A$2:$A$1000,A727)&gt;1,"Duplicate Job ID",IF(AND(AG727&lt;&gt;100,AG727&lt;&gt;0),"Weights must total 100",IF(Z727-Y727&lt;7,"Closing date must be 7+ days after opening","OK"))))</f>
        <v/>
      </c>
    </row>
    <row r="728">
      <c r="Y728" s="13" t="n"/>
      <c r="Z728" s="13" t="n"/>
      <c r="AF728" s="13" t="n"/>
      <c r="AG728" s="12">
        <f>IF(A728="","",SUMIFS('Assessment Weights'!$D:$D,'Assessment Weights'!$A:$A,A728))</f>
        <v/>
      </c>
      <c r="AH728" s="12">
        <f>IF(A728="","",IF(COUNTIF($A$2:$A$1000,A728)&gt;1,"Duplicate Job ID",IF(AND(AG728&lt;&gt;100,AG728&lt;&gt;0),"Weights must total 100",IF(Z728-Y728&lt;7,"Closing date must be 7+ days after opening","OK"))))</f>
        <v/>
      </c>
    </row>
    <row r="729">
      <c r="Y729" s="13" t="n"/>
      <c r="Z729" s="13" t="n"/>
      <c r="AF729" s="13" t="n"/>
      <c r="AG729" s="12">
        <f>IF(A729="","",SUMIFS('Assessment Weights'!$D:$D,'Assessment Weights'!$A:$A,A729))</f>
        <v/>
      </c>
      <c r="AH729" s="12">
        <f>IF(A729="","",IF(COUNTIF($A$2:$A$1000,A729)&gt;1,"Duplicate Job ID",IF(AND(AG729&lt;&gt;100,AG729&lt;&gt;0),"Weights must total 100",IF(Z729-Y729&lt;7,"Closing date must be 7+ days after opening","OK"))))</f>
        <v/>
      </c>
    </row>
    <row r="730">
      <c r="Y730" s="13" t="n"/>
      <c r="Z730" s="13" t="n"/>
      <c r="AF730" s="13" t="n"/>
      <c r="AG730" s="12">
        <f>IF(A730="","",SUMIFS('Assessment Weights'!$D:$D,'Assessment Weights'!$A:$A,A730))</f>
        <v/>
      </c>
      <c r="AH730" s="12">
        <f>IF(A730="","",IF(COUNTIF($A$2:$A$1000,A730)&gt;1,"Duplicate Job ID",IF(AND(AG730&lt;&gt;100,AG730&lt;&gt;0),"Weights must total 100",IF(Z730-Y730&lt;7,"Closing date must be 7+ days after opening","OK"))))</f>
        <v/>
      </c>
    </row>
    <row r="731">
      <c r="Y731" s="13" t="n"/>
      <c r="Z731" s="13" t="n"/>
      <c r="AF731" s="13" t="n"/>
      <c r="AG731" s="12">
        <f>IF(A731="","",SUMIFS('Assessment Weights'!$D:$D,'Assessment Weights'!$A:$A,A731))</f>
        <v/>
      </c>
      <c r="AH731" s="12">
        <f>IF(A731="","",IF(COUNTIF($A$2:$A$1000,A731)&gt;1,"Duplicate Job ID",IF(AND(AG731&lt;&gt;100,AG731&lt;&gt;0),"Weights must total 100",IF(Z731-Y731&lt;7,"Closing date must be 7+ days after opening","OK"))))</f>
        <v/>
      </c>
    </row>
    <row r="732">
      <c r="Y732" s="13" t="n"/>
      <c r="Z732" s="13" t="n"/>
      <c r="AF732" s="13" t="n"/>
      <c r="AG732" s="12">
        <f>IF(A732="","",SUMIFS('Assessment Weights'!$D:$D,'Assessment Weights'!$A:$A,A732))</f>
        <v/>
      </c>
      <c r="AH732" s="12">
        <f>IF(A732="","",IF(COUNTIF($A$2:$A$1000,A732)&gt;1,"Duplicate Job ID",IF(AND(AG732&lt;&gt;100,AG732&lt;&gt;0),"Weights must total 100",IF(Z732-Y732&lt;7,"Closing date must be 7+ days after opening","OK"))))</f>
        <v/>
      </c>
    </row>
    <row r="733">
      <c r="Y733" s="13" t="n"/>
      <c r="Z733" s="13" t="n"/>
      <c r="AF733" s="13" t="n"/>
      <c r="AG733" s="12">
        <f>IF(A733="","",SUMIFS('Assessment Weights'!$D:$D,'Assessment Weights'!$A:$A,A733))</f>
        <v/>
      </c>
      <c r="AH733" s="12">
        <f>IF(A733="","",IF(COUNTIF($A$2:$A$1000,A733)&gt;1,"Duplicate Job ID",IF(AND(AG733&lt;&gt;100,AG733&lt;&gt;0),"Weights must total 100",IF(Z733-Y733&lt;7,"Closing date must be 7+ days after opening","OK"))))</f>
        <v/>
      </c>
    </row>
    <row r="734">
      <c r="Y734" s="13" t="n"/>
      <c r="Z734" s="13" t="n"/>
      <c r="AF734" s="13" t="n"/>
      <c r="AG734" s="12">
        <f>IF(A734="","",SUMIFS('Assessment Weights'!$D:$D,'Assessment Weights'!$A:$A,A734))</f>
        <v/>
      </c>
      <c r="AH734" s="12">
        <f>IF(A734="","",IF(COUNTIF($A$2:$A$1000,A734)&gt;1,"Duplicate Job ID",IF(AND(AG734&lt;&gt;100,AG734&lt;&gt;0),"Weights must total 100",IF(Z734-Y734&lt;7,"Closing date must be 7+ days after opening","OK"))))</f>
        <v/>
      </c>
    </row>
    <row r="735">
      <c r="Y735" s="13" t="n"/>
      <c r="Z735" s="13" t="n"/>
      <c r="AF735" s="13" t="n"/>
      <c r="AG735" s="12">
        <f>IF(A735="","",SUMIFS('Assessment Weights'!$D:$D,'Assessment Weights'!$A:$A,A735))</f>
        <v/>
      </c>
      <c r="AH735" s="12">
        <f>IF(A735="","",IF(COUNTIF($A$2:$A$1000,A735)&gt;1,"Duplicate Job ID",IF(AND(AG735&lt;&gt;100,AG735&lt;&gt;0),"Weights must total 100",IF(Z735-Y735&lt;7,"Closing date must be 7+ days after opening","OK"))))</f>
        <v/>
      </c>
    </row>
    <row r="736">
      <c r="Y736" s="13" t="n"/>
      <c r="Z736" s="13" t="n"/>
      <c r="AF736" s="13" t="n"/>
      <c r="AG736" s="12">
        <f>IF(A736="","",SUMIFS('Assessment Weights'!$D:$D,'Assessment Weights'!$A:$A,A736))</f>
        <v/>
      </c>
      <c r="AH736" s="12">
        <f>IF(A736="","",IF(COUNTIF($A$2:$A$1000,A736)&gt;1,"Duplicate Job ID",IF(AND(AG736&lt;&gt;100,AG736&lt;&gt;0),"Weights must total 100",IF(Z736-Y736&lt;7,"Closing date must be 7+ days after opening","OK"))))</f>
        <v/>
      </c>
    </row>
    <row r="737">
      <c r="Y737" s="13" t="n"/>
      <c r="Z737" s="13" t="n"/>
      <c r="AF737" s="13" t="n"/>
      <c r="AG737" s="12">
        <f>IF(A737="","",SUMIFS('Assessment Weights'!$D:$D,'Assessment Weights'!$A:$A,A737))</f>
        <v/>
      </c>
      <c r="AH737" s="12">
        <f>IF(A737="","",IF(COUNTIF($A$2:$A$1000,A737)&gt;1,"Duplicate Job ID",IF(AND(AG737&lt;&gt;100,AG737&lt;&gt;0),"Weights must total 100",IF(Z737-Y737&lt;7,"Closing date must be 7+ days after opening","OK"))))</f>
        <v/>
      </c>
    </row>
    <row r="738">
      <c r="Y738" s="13" t="n"/>
      <c r="Z738" s="13" t="n"/>
      <c r="AF738" s="13" t="n"/>
      <c r="AG738" s="12">
        <f>IF(A738="","",SUMIFS('Assessment Weights'!$D:$D,'Assessment Weights'!$A:$A,A738))</f>
        <v/>
      </c>
      <c r="AH738" s="12">
        <f>IF(A738="","",IF(COUNTIF($A$2:$A$1000,A738)&gt;1,"Duplicate Job ID",IF(AND(AG738&lt;&gt;100,AG738&lt;&gt;0),"Weights must total 100",IF(Z738-Y738&lt;7,"Closing date must be 7+ days after opening","OK"))))</f>
        <v/>
      </c>
    </row>
    <row r="739">
      <c r="Y739" s="13" t="n"/>
      <c r="Z739" s="13" t="n"/>
      <c r="AF739" s="13" t="n"/>
      <c r="AG739" s="12">
        <f>IF(A739="","",SUMIFS('Assessment Weights'!$D:$D,'Assessment Weights'!$A:$A,A739))</f>
        <v/>
      </c>
      <c r="AH739" s="12">
        <f>IF(A739="","",IF(COUNTIF($A$2:$A$1000,A739)&gt;1,"Duplicate Job ID",IF(AND(AG739&lt;&gt;100,AG739&lt;&gt;0),"Weights must total 100",IF(Z739-Y739&lt;7,"Closing date must be 7+ days after opening","OK"))))</f>
        <v/>
      </c>
    </row>
    <row r="740">
      <c r="Y740" s="13" t="n"/>
      <c r="Z740" s="13" t="n"/>
      <c r="AF740" s="13" t="n"/>
      <c r="AG740" s="12">
        <f>IF(A740="","",SUMIFS('Assessment Weights'!$D:$D,'Assessment Weights'!$A:$A,A740))</f>
        <v/>
      </c>
      <c r="AH740" s="12">
        <f>IF(A740="","",IF(COUNTIF($A$2:$A$1000,A740)&gt;1,"Duplicate Job ID",IF(AND(AG740&lt;&gt;100,AG740&lt;&gt;0),"Weights must total 100",IF(Z740-Y740&lt;7,"Closing date must be 7+ days after opening","OK"))))</f>
        <v/>
      </c>
    </row>
    <row r="741">
      <c r="Y741" s="13" t="n"/>
      <c r="Z741" s="13" t="n"/>
      <c r="AF741" s="13" t="n"/>
      <c r="AG741" s="12">
        <f>IF(A741="","",SUMIFS('Assessment Weights'!$D:$D,'Assessment Weights'!$A:$A,A741))</f>
        <v/>
      </c>
      <c r="AH741" s="12">
        <f>IF(A741="","",IF(COUNTIF($A$2:$A$1000,A741)&gt;1,"Duplicate Job ID",IF(AND(AG741&lt;&gt;100,AG741&lt;&gt;0),"Weights must total 100",IF(Z741-Y741&lt;7,"Closing date must be 7+ days after opening","OK"))))</f>
        <v/>
      </c>
    </row>
    <row r="742">
      <c r="Y742" s="13" t="n"/>
      <c r="Z742" s="13" t="n"/>
      <c r="AF742" s="13" t="n"/>
      <c r="AG742" s="12">
        <f>IF(A742="","",SUMIFS('Assessment Weights'!$D:$D,'Assessment Weights'!$A:$A,A742))</f>
        <v/>
      </c>
      <c r="AH742" s="12">
        <f>IF(A742="","",IF(COUNTIF($A$2:$A$1000,A742)&gt;1,"Duplicate Job ID",IF(AND(AG742&lt;&gt;100,AG742&lt;&gt;0),"Weights must total 100",IF(Z742-Y742&lt;7,"Closing date must be 7+ days after opening","OK"))))</f>
        <v/>
      </c>
    </row>
    <row r="743">
      <c r="Y743" s="13" t="n"/>
      <c r="Z743" s="13" t="n"/>
      <c r="AF743" s="13" t="n"/>
      <c r="AG743" s="12">
        <f>IF(A743="","",SUMIFS('Assessment Weights'!$D:$D,'Assessment Weights'!$A:$A,A743))</f>
        <v/>
      </c>
      <c r="AH743" s="12">
        <f>IF(A743="","",IF(COUNTIF($A$2:$A$1000,A743)&gt;1,"Duplicate Job ID",IF(AND(AG743&lt;&gt;100,AG743&lt;&gt;0),"Weights must total 100",IF(Z743-Y743&lt;7,"Closing date must be 7+ days after opening","OK"))))</f>
        <v/>
      </c>
    </row>
    <row r="744">
      <c r="Y744" s="13" t="n"/>
      <c r="Z744" s="13" t="n"/>
      <c r="AF744" s="13" t="n"/>
      <c r="AG744" s="12">
        <f>IF(A744="","",SUMIFS('Assessment Weights'!$D:$D,'Assessment Weights'!$A:$A,A744))</f>
        <v/>
      </c>
      <c r="AH744" s="12">
        <f>IF(A744="","",IF(COUNTIF($A$2:$A$1000,A744)&gt;1,"Duplicate Job ID",IF(AND(AG744&lt;&gt;100,AG744&lt;&gt;0),"Weights must total 100",IF(Z744-Y744&lt;7,"Closing date must be 7+ days after opening","OK"))))</f>
        <v/>
      </c>
    </row>
    <row r="745">
      <c r="Y745" s="13" t="n"/>
      <c r="Z745" s="13" t="n"/>
      <c r="AF745" s="13" t="n"/>
      <c r="AG745" s="12">
        <f>IF(A745="","",SUMIFS('Assessment Weights'!$D:$D,'Assessment Weights'!$A:$A,A745))</f>
        <v/>
      </c>
      <c r="AH745" s="12">
        <f>IF(A745="","",IF(COUNTIF($A$2:$A$1000,A745)&gt;1,"Duplicate Job ID",IF(AND(AG745&lt;&gt;100,AG745&lt;&gt;0),"Weights must total 100",IF(Z745-Y745&lt;7,"Closing date must be 7+ days after opening","OK"))))</f>
        <v/>
      </c>
    </row>
    <row r="746">
      <c r="Y746" s="13" t="n"/>
      <c r="Z746" s="13" t="n"/>
      <c r="AF746" s="13" t="n"/>
      <c r="AG746" s="12">
        <f>IF(A746="","",SUMIFS('Assessment Weights'!$D:$D,'Assessment Weights'!$A:$A,A746))</f>
        <v/>
      </c>
      <c r="AH746" s="12">
        <f>IF(A746="","",IF(COUNTIF($A$2:$A$1000,A746)&gt;1,"Duplicate Job ID",IF(AND(AG746&lt;&gt;100,AG746&lt;&gt;0),"Weights must total 100",IF(Z746-Y746&lt;7,"Closing date must be 7+ days after opening","OK"))))</f>
        <v/>
      </c>
    </row>
    <row r="747">
      <c r="Y747" s="13" t="n"/>
      <c r="Z747" s="13" t="n"/>
      <c r="AF747" s="13" t="n"/>
      <c r="AG747" s="12">
        <f>IF(A747="","",SUMIFS('Assessment Weights'!$D:$D,'Assessment Weights'!$A:$A,A747))</f>
        <v/>
      </c>
      <c r="AH747" s="12">
        <f>IF(A747="","",IF(COUNTIF($A$2:$A$1000,A747)&gt;1,"Duplicate Job ID",IF(AND(AG747&lt;&gt;100,AG747&lt;&gt;0),"Weights must total 100",IF(Z747-Y747&lt;7,"Closing date must be 7+ days after opening","OK"))))</f>
        <v/>
      </c>
    </row>
    <row r="748">
      <c r="Y748" s="13" t="n"/>
      <c r="Z748" s="13" t="n"/>
      <c r="AF748" s="13" t="n"/>
      <c r="AG748" s="12">
        <f>IF(A748="","",SUMIFS('Assessment Weights'!$D:$D,'Assessment Weights'!$A:$A,A748))</f>
        <v/>
      </c>
      <c r="AH748" s="12">
        <f>IF(A748="","",IF(COUNTIF($A$2:$A$1000,A748)&gt;1,"Duplicate Job ID",IF(AND(AG748&lt;&gt;100,AG748&lt;&gt;0),"Weights must total 100",IF(Z748-Y748&lt;7,"Closing date must be 7+ days after opening","OK"))))</f>
        <v/>
      </c>
    </row>
    <row r="749">
      <c r="Y749" s="13" t="n"/>
      <c r="Z749" s="13" t="n"/>
      <c r="AF749" s="13" t="n"/>
      <c r="AG749" s="12">
        <f>IF(A749="","",SUMIFS('Assessment Weights'!$D:$D,'Assessment Weights'!$A:$A,A749))</f>
        <v/>
      </c>
      <c r="AH749" s="12">
        <f>IF(A749="","",IF(COUNTIF($A$2:$A$1000,A749)&gt;1,"Duplicate Job ID",IF(AND(AG749&lt;&gt;100,AG749&lt;&gt;0),"Weights must total 100",IF(Z749-Y749&lt;7,"Closing date must be 7+ days after opening","OK"))))</f>
        <v/>
      </c>
    </row>
    <row r="750">
      <c r="Y750" s="13" t="n"/>
      <c r="Z750" s="13" t="n"/>
      <c r="AF750" s="13" t="n"/>
      <c r="AG750" s="12">
        <f>IF(A750="","",SUMIFS('Assessment Weights'!$D:$D,'Assessment Weights'!$A:$A,A750))</f>
        <v/>
      </c>
      <c r="AH750" s="12">
        <f>IF(A750="","",IF(COUNTIF($A$2:$A$1000,A750)&gt;1,"Duplicate Job ID",IF(AND(AG750&lt;&gt;100,AG750&lt;&gt;0),"Weights must total 100",IF(Z750-Y750&lt;7,"Closing date must be 7+ days after opening","OK"))))</f>
        <v/>
      </c>
    </row>
    <row r="751">
      <c r="Y751" s="13" t="n"/>
      <c r="Z751" s="13" t="n"/>
      <c r="AF751" s="13" t="n"/>
      <c r="AG751" s="12">
        <f>IF(A751="","",SUMIFS('Assessment Weights'!$D:$D,'Assessment Weights'!$A:$A,A751))</f>
        <v/>
      </c>
      <c r="AH751" s="12">
        <f>IF(A751="","",IF(COUNTIF($A$2:$A$1000,A751)&gt;1,"Duplicate Job ID",IF(AND(AG751&lt;&gt;100,AG751&lt;&gt;0),"Weights must total 100",IF(Z751-Y751&lt;7,"Closing date must be 7+ days after opening","OK"))))</f>
        <v/>
      </c>
    </row>
    <row r="752">
      <c r="Y752" s="13" t="n"/>
      <c r="Z752" s="13" t="n"/>
      <c r="AF752" s="13" t="n"/>
      <c r="AG752" s="12">
        <f>IF(A752="","",SUMIFS('Assessment Weights'!$D:$D,'Assessment Weights'!$A:$A,A752))</f>
        <v/>
      </c>
      <c r="AH752" s="12">
        <f>IF(A752="","",IF(COUNTIF($A$2:$A$1000,A752)&gt;1,"Duplicate Job ID",IF(AND(AG752&lt;&gt;100,AG752&lt;&gt;0),"Weights must total 100",IF(Z752-Y752&lt;7,"Closing date must be 7+ days after opening","OK"))))</f>
        <v/>
      </c>
    </row>
    <row r="753">
      <c r="Y753" s="13" t="n"/>
      <c r="Z753" s="13" t="n"/>
      <c r="AF753" s="13" t="n"/>
      <c r="AG753" s="12">
        <f>IF(A753="","",SUMIFS('Assessment Weights'!$D:$D,'Assessment Weights'!$A:$A,A753))</f>
        <v/>
      </c>
      <c r="AH753" s="12">
        <f>IF(A753="","",IF(COUNTIF($A$2:$A$1000,A753)&gt;1,"Duplicate Job ID",IF(AND(AG753&lt;&gt;100,AG753&lt;&gt;0),"Weights must total 100",IF(Z753-Y753&lt;7,"Closing date must be 7+ days after opening","OK"))))</f>
        <v/>
      </c>
    </row>
    <row r="754">
      <c r="Y754" s="13" t="n"/>
      <c r="Z754" s="13" t="n"/>
      <c r="AF754" s="13" t="n"/>
      <c r="AG754" s="12">
        <f>IF(A754="","",SUMIFS('Assessment Weights'!$D:$D,'Assessment Weights'!$A:$A,A754))</f>
        <v/>
      </c>
      <c r="AH754" s="12">
        <f>IF(A754="","",IF(COUNTIF($A$2:$A$1000,A754)&gt;1,"Duplicate Job ID",IF(AND(AG754&lt;&gt;100,AG754&lt;&gt;0),"Weights must total 100",IF(Z754-Y754&lt;7,"Closing date must be 7+ days after opening","OK"))))</f>
        <v/>
      </c>
    </row>
    <row r="755">
      <c r="Y755" s="13" t="n"/>
      <c r="Z755" s="13" t="n"/>
      <c r="AF755" s="13" t="n"/>
      <c r="AG755" s="12">
        <f>IF(A755="","",SUMIFS('Assessment Weights'!$D:$D,'Assessment Weights'!$A:$A,A755))</f>
        <v/>
      </c>
      <c r="AH755" s="12">
        <f>IF(A755="","",IF(COUNTIF($A$2:$A$1000,A755)&gt;1,"Duplicate Job ID",IF(AND(AG755&lt;&gt;100,AG755&lt;&gt;0),"Weights must total 100",IF(Z755-Y755&lt;7,"Closing date must be 7+ days after opening","OK"))))</f>
        <v/>
      </c>
    </row>
    <row r="756">
      <c r="Y756" s="13" t="n"/>
      <c r="Z756" s="13" t="n"/>
      <c r="AF756" s="13" t="n"/>
      <c r="AG756" s="12">
        <f>IF(A756="","",SUMIFS('Assessment Weights'!$D:$D,'Assessment Weights'!$A:$A,A756))</f>
        <v/>
      </c>
      <c r="AH756" s="12">
        <f>IF(A756="","",IF(COUNTIF($A$2:$A$1000,A756)&gt;1,"Duplicate Job ID",IF(AND(AG756&lt;&gt;100,AG756&lt;&gt;0),"Weights must total 100",IF(Z756-Y756&lt;7,"Closing date must be 7+ days after opening","OK"))))</f>
        <v/>
      </c>
    </row>
    <row r="757">
      <c r="Y757" s="13" t="n"/>
      <c r="Z757" s="13" t="n"/>
      <c r="AF757" s="13" t="n"/>
      <c r="AG757" s="12">
        <f>IF(A757="","",SUMIFS('Assessment Weights'!$D:$D,'Assessment Weights'!$A:$A,A757))</f>
        <v/>
      </c>
      <c r="AH757" s="12">
        <f>IF(A757="","",IF(COUNTIF($A$2:$A$1000,A757)&gt;1,"Duplicate Job ID",IF(AND(AG757&lt;&gt;100,AG757&lt;&gt;0),"Weights must total 100",IF(Z757-Y757&lt;7,"Closing date must be 7+ days after opening","OK"))))</f>
        <v/>
      </c>
    </row>
    <row r="758">
      <c r="Y758" s="13" t="n"/>
      <c r="Z758" s="13" t="n"/>
      <c r="AF758" s="13" t="n"/>
      <c r="AG758" s="12">
        <f>IF(A758="","",SUMIFS('Assessment Weights'!$D:$D,'Assessment Weights'!$A:$A,A758))</f>
        <v/>
      </c>
      <c r="AH758" s="12">
        <f>IF(A758="","",IF(COUNTIF($A$2:$A$1000,A758)&gt;1,"Duplicate Job ID",IF(AND(AG758&lt;&gt;100,AG758&lt;&gt;0),"Weights must total 100",IF(Z758-Y758&lt;7,"Closing date must be 7+ days after opening","OK"))))</f>
        <v/>
      </c>
    </row>
    <row r="759">
      <c r="Y759" s="13" t="n"/>
      <c r="Z759" s="13" t="n"/>
      <c r="AF759" s="13" t="n"/>
      <c r="AG759" s="12">
        <f>IF(A759="","",SUMIFS('Assessment Weights'!$D:$D,'Assessment Weights'!$A:$A,A759))</f>
        <v/>
      </c>
      <c r="AH759" s="12">
        <f>IF(A759="","",IF(COUNTIF($A$2:$A$1000,A759)&gt;1,"Duplicate Job ID",IF(AND(AG759&lt;&gt;100,AG759&lt;&gt;0),"Weights must total 100",IF(Z759-Y759&lt;7,"Closing date must be 7+ days after opening","OK"))))</f>
        <v/>
      </c>
    </row>
    <row r="760">
      <c r="Y760" s="13" t="n"/>
      <c r="Z760" s="13" t="n"/>
      <c r="AF760" s="13" t="n"/>
      <c r="AG760" s="12">
        <f>IF(A760="","",SUMIFS('Assessment Weights'!$D:$D,'Assessment Weights'!$A:$A,A760))</f>
        <v/>
      </c>
      <c r="AH760" s="12">
        <f>IF(A760="","",IF(COUNTIF($A$2:$A$1000,A760)&gt;1,"Duplicate Job ID",IF(AND(AG760&lt;&gt;100,AG760&lt;&gt;0),"Weights must total 100",IF(Z760-Y760&lt;7,"Closing date must be 7+ days after opening","OK"))))</f>
        <v/>
      </c>
    </row>
    <row r="761">
      <c r="Y761" s="13" t="n"/>
      <c r="Z761" s="13" t="n"/>
      <c r="AF761" s="13" t="n"/>
      <c r="AG761" s="12">
        <f>IF(A761="","",SUMIFS('Assessment Weights'!$D:$D,'Assessment Weights'!$A:$A,A761))</f>
        <v/>
      </c>
      <c r="AH761" s="12">
        <f>IF(A761="","",IF(COUNTIF($A$2:$A$1000,A761)&gt;1,"Duplicate Job ID",IF(AND(AG761&lt;&gt;100,AG761&lt;&gt;0),"Weights must total 100",IF(Z761-Y761&lt;7,"Closing date must be 7+ days after opening","OK"))))</f>
        <v/>
      </c>
    </row>
    <row r="762">
      <c r="Y762" s="13" t="n"/>
      <c r="Z762" s="13" t="n"/>
      <c r="AF762" s="13" t="n"/>
      <c r="AG762" s="12">
        <f>IF(A762="","",SUMIFS('Assessment Weights'!$D:$D,'Assessment Weights'!$A:$A,A762))</f>
        <v/>
      </c>
      <c r="AH762" s="12">
        <f>IF(A762="","",IF(COUNTIF($A$2:$A$1000,A762)&gt;1,"Duplicate Job ID",IF(AND(AG762&lt;&gt;100,AG762&lt;&gt;0),"Weights must total 100",IF(Z762-Y762&lt;7,"Closing date must be 7+ days after opening","OK"))))</f>
        <v/>
      </c>
    </row>
    <row r="763">
      <c r="Y763" s="13" t="n"/>
      <c r="Z763" s="13" t="n"/>
      <c r="AF763" s="13" t="n"/>
      <c r="AG763" s="12">
        <f>IF(A763="","",SUMIFS('Assessment Weights'!$D:$D,'Assessment Weights'!$A:$A,A763))</f>
        <v/>
      </c>
      <c r="AH763" s="12">
        <f>IF(A763="","",IF(COUNTIF($A$2:$A$1000,A763)&gt;1,"Duplicate Job ID",IF(AND(AG763&lt;&gt;100,AG763&lt;&gt;0),"Weights must total 100",IF(Z763-Y763&lt;7,"Closing date must be 7+ days after opening","OK"))))</f>
        <v/>
      </c>
    </row>
    <row r="764">
      <c r="Y764" s="13" t="n"/>
      <c r="Z764" s="13" t="n"/>
      <c r="AF764" s="13" t="n"/>
      <c r="AG764" s="12">
        <f>IF(A764="","",SUMIFS('Assessment Weights'!$D:$D,'Assessment Weights'!$A:$A,A764))</f>
        <v/>
      </c>
      <c r="AH764" s="12">
        <f>IF(A764="","",IF(COUNTIF($A$2:$A$1000,A764)&gt;1,"Duplicate Job ID",IF(AND(AG764&lt;&gt;100,AG764&lt;&gt;0),"Weights must total 100",IF(Z764-Y764&lt;7,"Closing date must be 7+ days after opening","OK"))))</f>
        <v/>
      </c>
    </row>
    <row r="765">
      <c r="Y765" s="13" t="n"/>
      <c r="Z765" s="13" t="n"/>
      <c r="AF765" s="13" t="n"/>
      <c r="AG765" s="12">
        <f>IF(A765="","",SUMIFS('Assessment Weights'!$D:$D,'Assessment Weights'!$A:$A,A765))</f>
        <v/>
      </c>
      <c r="AH765" s="12">
        <f>IF(A765="","",IF(COUNTIF($A$2:$A$1000,A765)&gt;1,"Duplicate Job ID",IF(AND(AG765&lt;&gt;100,AG765&lt;&gt;0),"Weights must total 100",IF(Z765-Y765&lt;7,"Closing date must be 7+ days after opening","OK"))))</f>
        <v/>
      </c>
    </row>
    <row r="766">
      <c r="Y766" s="13" t="n"/>
      <c r="Z766" s="13" t="n"/>
      <c r="AF766" s="13" t="n"/>
      <c r="AG766" s="12">
        <f>IF(A766="","",SUMIFS('Assessment Weights'!$D:$D,'Assessment Weights'!$A:$A,A766))</f>
        <v/>
      </c>
      <c r="AH766" s="12">
        <f>IF(A766="","",IF(COUNTIF($A$2:$A$1000,A766)&gt;1,"Duplicate Job ID",IF(AND(AG766&lt;&gt;100,AG766&lt;&gt;0),"Weights must total 100",IF(Z766-Y766&lt;7,"Closing date must be 7+ days after opening","OK"))))</f>
        <v/>
      </c>
    </row>
    <row r="767">
      <c r="Y767" s="13" t="n"/>
      <c r="Z767" s="13" t="n"/>
      <c r="AF767" s="13" t="n"/>
      <c r="AG767" s="12">
        <f>IF(A767="","",SUMIFS('Assessment Weights'!$D:$D,'Assessment Weights'!$A:$A,A767))</f>
        <v/>
      </c>
      <c r="AH767" s="12">
        <f>IF(A767="","",IF(COUNTIF($A$2:$A$1000,A767)&gt;1,"Duplicate Job ID",IF(AND(AG767&lt;&gt;100,AG767&lt;&gt;0),"Weights must total 100",IF(Z767-Y767&lt;7,"Closing date must be 7+ days after opening","OK"))))</f>
        <v/>
      </c>
    </row>
    <row r="768">
      <c r="Y768" s="13" t="n"/>
      <c r="Z768" s="13" t="n"/>
      <c r="AF768" s="13" t="n"/>
      <c r="AG768" s="12">
        <f>IF(A768="","",SUMIFS('Assessment Weights'!$D:$D,'Assessment Weights'!$A:$A,A768))</f>
        <v/>
      </c>
      <c r="AH768" s="12">
        <f>IF(A768="","",IF(COUNTIF($A$2:$A$1000,A768)&gt;1,"Duplicate Job ID",IF(AND(AG768&lt;&gt;100,AG768&lt;&gt;0),"Weights must total 100",IF(Z768-Y768&lt;7,"Closing date must be 7+ days after opening","OK"))))</f>
        <v/>
      </c>
    </row>
    <row r="769">
      <c r="Y769" s="13" t="n"/>
      <c r="Z769" s="13" t="n"/>
      <c r="AF769" s="13" t="n"/>
      <c r="AG769" s="12">
        <f>IF(A769="","",SUMIFS('Assessment Weights'!$D:$D,'Assessment Weights'!$A:$A,A769))</f>
        <v/>
      </c>
      <c r="AH769" s="12">
        <f>IF(A769="","",IF(COUNTIF($A$2:$A$1000,A769)&gt;1,"Duplicate Job ID",IF(AND(AG769&lt;&gt;100,AG769&lt;&gt;0),"Weights must total 100",IF(Z769-Y769&lt;7,"Closing date must be 7+ days after opening","OK"))))</f>
        <v/>
      </c>
    </row>
    <row r="770">
      <c r="Y770" s="13" t="n"/>
      <c r="Z770" s="13" t="n"/>
      <c r="AF770" s="13" t="n"/>
      <c r="AG770" s="12">
        <f>IF(A770="","",SUMIFS('Assessment Weights'!$D:$D,'Assessment Weights'!$A:$A,A770))</f>
        <v/>
      </c>
      <c r="AH770" s="12">
        <f>IF(A770="","",IF(COUNTIF($A$2:$A$1000,A770)&gt;1,"Duplicate Job ID",IF(AND(AG770&lt;&gt;100,AG770&lt;&gt;0),"Weights must total 100",IF(Z770-Y770&lt;7,"Closing date must be 7+ days after opening","OK"))))</f>
        <v/>
      </c>
    </row>
    <row r="771">
      <c r="Y771" s="13" t="n"/>
      <c r="Z771" s="13" t="n"/>
      <c r="AF771" s="13" t="n"/>
      <c r="AG771" s="12">
        <f>IF(A771="","",SUMIFS('Assessment Weights'!$D:$D,'Assessment Weights'!$A:$A,A771))</f>
        <v/>
      </c>
      <c r="AH771" s="12">
        <f>IF(A771="","",IF(COUNTIF($A$2:$A$1000,A771)&gt;1,"Duplicate Job ID",IF(AND(AG771&lt;&gt;100,AG771&lt;&gt;0),"Weights must total 100",IF(Z771-Y771&lt;7,"Closing date must be 7+ days after opening","OK"))))</f>
        <v/>
      </c>
    </row>
    <row r="772">
      <c r="Y772" s="13" t="n"/>
      <c r="Z772" s="13" t="n"/>
      <c r="AF772" s="13" t="n"/>
      <c r="AG772" s="12">
        <f>IF(A772="","",SUMIFS('Assessment Weights'!$D:$D,'Assessment Weights'!$A:$A,A772))</f>
        <v/>
      </c>
      <c r="AH772" s="12">
        <f>IF(A772="","",IF(COUNTIF($A$2:$A$1000,A772)&gt;1,"Duplicate Job ID",IF(AND(AG772&lt;&gt;100,AG772&lt;&gt;0),"Weights must total 100",IF(Z772-Y772&lt;7,"Closing date must be 7+ days after opening","OK"))))</f>
        <v/>
      </c>
    </row>
    <row r="773">
      <c r="Y773" s="13" t="n"/>
      <c r="Z773" s="13" t="n"/>
      <c r="AF773" s="13" t="n"/>
      <c r="AG773" s="12">
        <f>IF(A773="","",SUMIFS('Assessment Weights'!$D:$D,'Assessment Weights'!$A:$A,A773))</f>
        <v/>
      </c>
      <c r="AH773" s="12">
        <f>IF(A773="","",IF(COUNTIF($A$2:$A$1000,A773)&gt;1,"Duplicate Job ID",IF(AND(AG773&lt;&gt;100,AG773&lt;&gt;0),"Weights must total 100",IF(Z773-Y773&lt;7,"Closing date must be 7+ days after opening","OK"))))</f>
        <v/>
      </c>
    </row>
    <row r="774">
      <c r="Y774" s="13" t="n"/>
      <c r="Z774" s="13" t="n"/>
      <c r="AF774" s="13" t="n"/>
      <c r="AG774" s="12">
        <f>IF(A774="","",SUMIFS('Assessment Weights'!$D:$D,'Assessment Weights'!$A:$A,A774))</f>
        <v/>
      </c>
      <c r="AH774" s="12">
        <f>IF(A774="","",IF(COUNTIF($A$2:$A$1000,A774)&gt;1,"Duplicate Job ID",IF(AND(AG774&lt;&gt;100,AG774&lt;&gt;0),"Weights must total 100",IF(Z774-Y774&lt;7,"Closing date must be 7+ days after opening","OK"))))</f>
        <v/>
      </c>
    </row>
    <row r="775">
      <c r="Y775" s="13" t="n"/>
      <c r="Z775" s="13" t="n"/>
      <c r="AF775" s="13" t="n"/>
      <c r="AG775" s="12">
        <f>IF(A775="","",SUMIFS('Assessment Weights'!$D:$D,'Assessment Weights'!$A:$A,A775))</f>
        <v/>
      </c>
      <c r="AH775" s="12">
        <f>IF(A775="","",IF(COUNTIF($A$2:$A$1000,A775)&gt;1,"Duplicate Job ID",IF(AND(AG775&lt;&gt;100,AG775&lt;&gt;0),"Weights must total 100",IF(Z775-Y775&lt;7,"Closing date must be 7+ days after opening","OK"))))</f>
        <v/>
      </c>
    </row>
    <row r="776">
      <c r="Y776" s="13" t="n"/>
      <c r="Z776" s="13" t="n"/>
      <c r="AF776" s="13" t="n"/>
      <c r="AG776" s="12">
        <f>IF(A776="","",SUMIFS('Assessment Weights'!$D:$D,'Assessment Weights'!$A:$A,A776))</f>
        <v/>
      </c>
      <c r="AH776" s="12">
        <f>IF(A776="","",IF(COUNTIF($A$2:$A$1000,A776)&gt;1,"Duplicate Job ID",IF(AND(AG776&lt;&gt;100,AG776&lt;&gt;0),"Weights must total 100",IF(Z776-Y776&lt;7,"Closing date must be 7+ days after opening","OK"))))</f>
        <v/>
      </c>
    </row>
    <row r="777">
      <c r="Y777" s="13" t="n"/>
      <c r="Z777" s="13" t="n"/>
      <c r="AF777" s="13" t="n"/>
      <c r="AG777" s="12">
        <f>IF(A777="","",SUMIFS('Assessment Weights'!$D:$D,'Assessment Weights'!$A:$A,A777))</f>
        <v/>
      </c>
      <c r="AH777" s="12">
        <f>IF(A777="","",IF(COUNTIF($A$2:$A$1000,A777)&gt;1,"Duplicate Job ID",IF(AND(AG777&lt;&gt;100,AG777&lt;&gt;0),"Weights must total 100",IF(Z777-Y777&lt;7,"Closing date must be 7+ days after opening","OK"))))</f>
        <v/>
      </c>
    </row>
    <row r="778">
      <c r="Y778" s="13" t="n"/>
      <c r="Z778" s="13" t="n"/>
      <c r="AF778" s="13" t="n"/>
      <c r="AG778" s="12">
        <f>IF(A778="","",SUMIFS('Assessment Weights'!$D:$D,'Assessment Weights'!$A:$A,A778))</f>
        <v/>
      </c>
      <c r="AH778" s="12">
        <f>IF(A778="","",IF(COUNTIF($A$2:$A$1000,A778)&gt;1,"Duplicate Job ID",IF(AND(AG778&lt;&gt;100,AG778&lt;&gt;0),"Weights must total 100",IF(Z778-Y778&lt;7,"Closing date must be 7+ days after opening","OK"))))</f>
        <v/>
      </c>
    </row>
    <row r="779">
      <c r="Y779" s="13" t="n"/>
      <c r="Z779" s="13" t="n"/>
      <c r="AF779" s="13" t="n"/>
      <c r="AG779" s="12">
        <f>IF(A779="","",SUMIFS('Assessment Weights'!$D:$D,'Assessment Weights'!$A:$A,A779))</f>
        <v/>
      </c>
      <c r="AH779" s="12">
        <f>IF(A779="","",IF(COUNTIF($A$2:$A$1000,A779)&gt;1,"Duplicate Job ID",IF(AND(AG779&lt;&gt;100,AG779&lt;&gt;0),"Weights must total 100",IF(Z779-Y779&lt;7,"Closing date must be 7+ days after opening","OK"))))</f>
        <v/>
      </c>
    </row>
    <row r="780">
      <c r="Y780" s="13" t="n"/>
      <c r="Z780" s="13" t="n"/>
      <c r="AF780" s="13" t="n"/>
      <c r="AG780" s="12">
        <f>IF(A780="","",SUMIFS('Assessment Weights'!$D:$D,'Assessment Weights'!$A:$A,A780))</f>
        <v/>
      </c>
      <c r="AH780" s="12">
        <f>IF(A780="","",IF(COUNTIF($A$2:$A$1000,A780)&gt;1,"Duplicate Job ID",IF(AND(AG780&lt;&gt;100,AG780&lt;&gt;0),"Weights must total 100",IF(Z780-Y780&lt;7,"Closing date must be 7+ days after opening","OK"))))</f>
        <v/>
      </c>
    </row>
    <row r="781">
      <c r="Y781" s="13" t="n"/>
      <c r="Z781" s="13" t="n"/>
      <c r="AF781" s="13" t="n"/>
      <c r="AG781" s="12">
        <f>IF(A781="","",SUMIFS('Assessment Weights'!$D:$D,'Assessment Weights'!$A:$A,A781))</f>
        <v/>
      </c>
      <c r="AH781" s="12">
        <f>IF(A781="","",IF(COUNTIF($A$2:$A$1000,A781)&gt;1,"Duplicate Job ID",IF(AND(AG781&lt;&gt;100,AG781&lt;&gt;0),"Weights must total 100",IF(Z781-Y781&lt;7,"Closing date must be 7+ days after opening","OK"))))</f>
        <v/>
      </c>
    </row>
    <row r="782">
      <c r="Y782" s="13" t="n"/>
      <c r="Z782" s="13" t="n"/>
      <c r="AF782" s="13" t="n"/>
      <c r="AG782" s="12">
        <f>IF(A782="","",SUMIFS('Assessment Weights'!$D:$D,'Assessment Weights'!$A:$A,A782))</f>
        <v/>
      </c>
      <c r="AH782" s="12">
        <f>IF(A782="","",IF(COUNTIF($A$2:$A$1000,A782)&gt;1,"Duplicate Job ID",IF(AND(AG782&lt;&gt;100,AG782&lt;&gt;0),"Weights must total 100",IF(Z782-Y782&lt;7,"Closing date must be 7+ days after opening","OK"))))</f>
        <v/>
      </c>
    </row>
    <row r="783">
      <c r="Y783" s="13" t="n"/>
      <c r="Z783" s="13" t="n"/>
      <c r="AF783" s="13" t="n"/>
      <c r="AG783" s="12">
        <f>IF(A783="","",SUMIFS('Assessment Weights'!$D:$D,'Assessment Weights'!$A:$A,A783))</f>
        <v/>
      </c>
      <c r="AH783" s="12">
        <f>IF(A783="","",IF(COUNTIF($A$2:$A$1000,A783)&gt;1,"Duplicate Job ID",IF(AND(AG783&lt;&gt;100,AG783&lt;&gt;0),"Weights must total 100",IF(Z783-Y783&lt;7,"Closing date must be 7+ days after opening","OK"))))</f>
        <v/>
      </c>
    </row>
    <row r="784">
      <c r="Y784" s="13" t="n"/>
      <c r="Z784" s="13" t="n"/>
      <c r="AF784" s="13" t="n"/>
      <c r="AG784" s="12">
        <f>IF(A784="","",SUMIFS('Assessment Weights'!$D:$D,'Assessment Weights'!$A:$A,A784))</f>
        <v/>
      </c>
      <c r="AH784" s="12">
        <f>IF(A784="","",IF(COUNTIF($A$2:$A$1000,A784)&gt;1,"Duplicate Job ID",IF(AND(AG784&lt;&gt;100,AG784&lt;&gt;0),"Weights must total 100",IF(Z784-Y784&lt;7,"Closing date must be 7+ days after opening","OK"))))</f>
        <v/>
      </c>
    </row>
    <row r="785">
      <c r="Y785" s="13" t="n"/>
      <c r="Z785" s="13" t="n"/>
      <c r="AF785" s="13" t="n"/>
      <c r="AG785" s="12">
        <f>IF(A785="","",SUMIFS('Assessment Weights'!$D:$D,'Assessment Weights'!$A:$A,A785))</f>
        <v/>
      </c>
      <c r="AH785" s="12">
        <f>IF(A785="","",IF(COUNTIF($A$2:$A$1000,A785)&gt;1,"Duplicate Job ID",IF(AND(AG785&lt;&gt;100,AG785&lt;&gt;0),"Weights must total 100",IF(Z785-Y785&lt;7,"Closing date must be 7+ days after opening","OK"))))</f>
        <v/>
      </c>
    </row>
    <row r="786">
      <c r="Y786" s="13" t="n"/>
      <c r="Z786" s="13" t="n"/>
      <c r="AF786" s="13" t="n"/>
      <c r="AG786" s="12">
        <f>IF(A786="","",SUMIFS('Assessment Weights'!$D:$D,'Assessment Weights'!$A:$A,A786))</f>
        <v/>
      </c>
      <c r="AH786" s="12">
        <f>IF(A786="","",IF(COUNTIF($A$2:$A$1000,A786)&gt;1,"Duplicate Job ID",IF(AND(AG786&lt;&gt;100,AG786&lt;&gt;0),"Weights must total 100",IF(Z786-Y786&lt;7,"Closing date must be 7+ days after opening","OK"))))</f>
        <v/>
      </c>
    </row>
    <row r="787">
      <c r="Y787" s="13" t="n"/>
      <c r="Z787" s="13" t="n"/>
      <c r="AF787" s="13" t="n"/>
      <c r="AG787" s="12">
        <f>IF(A787="","",SUMIFS('Assessment Weights'!$D:$D,'Assessment Weights'!$A:$A,A787))</f>
        <v/>
      </c>
      <c r="AH787" s="12">
        <f>IF(A787="","",IF(COUNTIF($A$2:$A$1000,A787)&gt;1,"Duplicate Job ID",IF(AND(AG787&lt;&gt;100,AG787&lt;&gt;0),"Weights must total 100",IF(Z787-Y787&lt;7,"Closing date must be 7+ days after opening","OK"))))</f>
        <v/>
      </c>
    </row>
    <row r="788">
      <c r="Y788" s="13" t="n"/>
      <c r="Z788" s="13" t="n"/>
      <c r="AF788" s="13" t="n"/>
      <c r="AG788" s="12">
        <f>IF(A788="","",SUMIFS('Assessment Weights'!$D:$D,'Assessment Weights'!$A:$A,A788))</f>
        <v/>
      </c>
      <c r="AH788" s="12">
        <f>IF(A788="","",IF(COUNTIF($A$2:$A$1000,A788)&gt;1,"Duplicate Job ID",IF(AND(AG788&lt;&gt;100,AG788&lt;&gt;0),"Weights must total 100",IF(Z788-Y788&lt;7,"Closing date must be 7+ days after opening","OK"))))</f>
        <v/>
      </c>
    </row>
    <row r="789">
      <c r="Y789" s="13" t="n"/>
      <c r="Z789" s="13" t="n"/>
      <c r="AF789" s="13" t="n"/>
      <c r="AG789" s="12">
        <f>IF(A789="","",SUMIFS('Assessment Weights'!$D:$D,'Assessment Weights'!$A:$A,A789))</f>
        <v/>
      </c>
      <c r="AH789" s="12">
        <f>IF(A789="","",IF(COUNTIF($A$2:$A$1000,A789)&gt;1,"Duplicate Job ID",IF(AND(AG789&lt;&gt;100,AG789&lt;&gt;0),"Weights must total 100",IF(Z789-Y789&lt;7,"Closing date must be 7+ days after opening","OK"))))</f>
        <v/>
      </c>
    </row>
    <row r="790">
      <c r="Y790" s="13" t="n"/>
      <c r="Z790" s="13" t="n"/>
      <c r="AF790" s="13" t="n"/>
      <c r="AG790" s="12">
        <f>IF(A790="","",SUMIFS('Assessment Weights'!$D:$D,'Assessment Weights'!$A:$A,A790))</f>
        <v/>
      </c>
      <c r="AH790" s="12">
        <f>IF(A790="","",IF(COUNTIF($A$2:$A$1000,A790)&gt;1,"Duplicate Job ID",IF(AND(AG790&lt;&gt;100,AG790&lt;&gt;0),"Weights must total 100",IF(Z790-Y790&lt;7,"Closing date must be 7+ days after opening","OK"))))</f>
        <v/>
      </c>
    </row>
    <row r="791">
      <c r="Y791" s="13" t="n"/>
      <c r="Z791" s="13" t="n"/>
      <c r="AF791" s="13" t="n"/>
      <c r="AG791" s="12">
        <f>IF(A791="","",SUMIFS('Assessment Weights'!$D:$D,'Assessment Weights'!$A:$A,A791))</f>
        <v/>
      </c>
      <c r="AH791" s="12">
        <f>IF(A791="","",IF(COUNTIF($A$2:$A$1000,A791)&gt;1,"Duplicate Job ID",IF(AND(AG791&lt;&gt;100,AG791&lt;&gt;0),"Weights must total 100",IF(Z791-Y791&lt;7,"Closing date must be 7+ days after opening","OK"))))</f>
        <v/>
      </c>
    </row>
    <row r="792">
      <c r="Y792" s="13" t="n"/>
      <c r="Z792" s="13" t="n"/>
      <c r="AF792" s="13" t="n"/>
      <c r="AG792" s="12">
        <f>IF(A792="","",SUMIFS('Assessment Weights'!$D:$D,'Assessment Weights'!$A:$A,A792))</f>
        <v/>
      </c>
      <c r="AH792" s="12">
        <f>IF(A792="","",IF(COUNTIF($A$2:$A$1000,A792)&gt;1,"Duplicate Job ID",IF(AND(AG792&lt;&gt;100,AG792&lt;&gt;0),"Weights must total 100",IF(Z792-Y792&lt;7,"Closing date must be 7+ days after opening","OK"))))</f>
        <v/>
      </c>
    </row>
    <row r="793">
      <c r="Y793" s="13" t="n"/>
      <c r="Z793" s="13" t="n"/>
      <c r="AF793" s="13" t="n"/>
      <c r="AG793" s="12">
        <f>IF(A793="","",SUMIFS('Assessment Weights'!$D:$D,'Assessment Weights'!$A:$A,A793))</f>
        <v/>
      </c>
      <c r="AH793" s="12">
        <f>IF(A793="","",IF(COUNTIF($A$2:$A$1000,A793)&gt;1,"Duplicate Job ID",IF(AND(AG793&lt;&gt;100,AG793&lt;&gt;0),"Weights must total 100",IF(Z793-Y793&lt;7,"Closing date must be 7+ days after opening","OK"))))</f>
        <v/>
      </c>
    </row>
    <row r="794">
      <c r="Y794" s="13" t="n"/>
      <c r="Z794" s="13" t="n"/>
      <c r="AF794" s="13" t="n"/>
      <c r="AG794" s="12">
        <f>IF(A794="","",SUMIFS('Assessment Weights'!$D:$D,'Assessment Weights'!$A:$A,A794))</f>
        <v/>
      </c>
      <c r="AH794" s="12">
        <f>IF(A794="","",IF(COUNTIF($A$2:$A$1000,A794)&gt;1,"Duplicate Job ID",IF(AND(AG794&lt;&gt;100,AG794&lt;&gt;0),"Weights must total 100",IF(Z794-Y794&lt;7,"Closing date must be 7+ days after opening","OK"))))</f>
        <v/>
      </c>
    </row>
    <row r="795">
      <c r="Y795" s="13" t="n"/>
      <c r="Z795" s="13" t="n"/>
      <c r="AF795" s="13" t="n"/>
      <c r="AG795" s="12">
        <f>IF(A795="","",SUMIFS('Assessment Weights'!$D:$D,'Assessment Weights'!$A:$A,A795))</f>
        <v/>
      </c>
      <c r="AH795" s="12">
        <f>IF(A795="","",IF(COUNTIF($A$2:$A$1000,A795)&gt;1,"Duplicate Job ID",IF(AND(AG795&lt;&gt;100,AG795&lt;&gt;0),"Weights must total 100",IF(Z795-Y795&lt;7,"Closing date must be 7+ days after opening","OK"))))</f>
        <v/>
      </c>
    </row>
    <row r="796">
      <c r="Y796" s="13" t="n"/>
      <c r="Z796" s="13" t="n"/>
      <c r="AF796" s="13" t="n"/>
      <c r="AG796" s="12">
        <f>IF(A796="","",SUMIFS('Assessment Weights'!$D:$D,'Assessment Weights'!$A:$A,A796))</f>
        <v/>
      </c>
      <c r="AH796" s="12">
        <f>IF(A796="","",IF(COUNTIF($A$2:$A$1000,A796)&gt;1,"Duplicate Job ID",IF(AND(AG796&lt;&gt;100,AG796&lt;&gt;0),"Weights must total 100",IF(Z796-Y796&lt;7,"Closing date must be 7+ days after opening","OK"))))</f>
        <v/>
      </c>
    </row>
    <row r="797">
      <c r="Y797" s="13" t="n"/>
      <c r="Z797" s="13" t="n"/>
      <c r="AF797" s="13" t="n"/>
      <c r="AG797" s="12">
        <f>IF(A797="","",SUMIFS('Assessment Weights'!$D:$D,'Assessment Weights'!$A:$A,A797))</f>
        <v/>
      </c>
      <c r="AH797" s="12">
        <f>IF(A797="","",IF(COUNTIF($A$2:$A$1000,A797)&gt;1,"Duplicate Job ID",IF(AND(AG797&lt;&gt;100,AG797&lt;&gt;0),"Weights must total 100",IF(Z797-Y797&lt;7,"Closing date must be 7+ days after opening","OK"))))</f>
        <v/>
      </c>
    </row>
    <row r="798">
      <c r="Y798" s="13" t="n"/>
      <c r="Z798" s="13" t="n"/>
      <c r="AF798" s="13" t="n"/>
      <c r="AG798" s="12">
        <f>IF(A798="","",SUMIFS('Assessment Weights'!$D:$D,'Assessment Weights'!$A:$A,A798))</f>
        <v/>
      </c>
      <c r="AH798" s="12">
        <f>IF(A798="","",IF(COUNTIF($A$2:$A$1000,A798)&gt;1,"Duplicate Job ID",IF(AND(AG798&lt;&gt;100,AG798&lt;&gt;0),"Weights must total 100",IF(Z798-Y798&lt;7,"Closing date must be 7+ days after opening","OK"))))</f>
        <v/>
      </c>
    </row>
    <row r="799">
      <c r="Y799" s="13" t="n"/>
      <c r="Z799" s="13" t="n"/>
      <c r="AF799" s="13" t="n"/>
      <c r="AG799" s="12">
        <f>IF(A799="","",SUMIFS('Assessment Weights'!$D:$D,'Assessment Weights'!$A:$A,A799))</f>
        <v/>
      </c>
      <c r="AH799" s="12">
        <f>IF(A799="","",IF(COUNTIF($A$2:$A$1000,A799)&gt;1,"Duplicate Job ID",IF(AND(AG799&lt;&gt;100,AG799&lt;&gt;0),"Weights must total 100",IF(Z799-Y799&lt;7,"Closing date must be 7+ days after opening","OK"))))</f>
        <v/>
      </c>
    </row>
    <row r="800">
      <c r="Y800" s="13" t="n"/>
      <c r="Z800" s="13" t="n"/>
      <c r="AF800" s="13" t="n"/>
      <c r="AG800" s="12">
        <f>IF(A800="","",SUMIFS('Assessment Weights'!$D:$D,'Assessment Weights'!$A:$A,A800))</f>
        <v/>
      </c>
      <c r="AH800" s="12">
        <f>IF(A800="","",IF(COUNTIF($A$2:$A$1000,A800)&gt;1,"Duplicate Job ID",IF(AND(AG800&lt;&gt;100,AG800&lt;&gt;0),"Weights must total 100",IF(Z800-Y800&lt;7,"Closing date must be 7+ days after opening","OK"))))</f>
        <v/>
      </c>
    </row>
    <row r="801">
      <c r="Y801" s="13" t="n"/>
      <c r="Z801" s="13" t="n"/>
      <c r="AF801" s="13" t="n"/>
      <c r="AG801" s="12">
        <f>IF(A801="","",SUMIFS('Assessment Weights'!$D:$D,'Assessment Weights'!$A:$A,A801))</f>
        <v/>
      </c>
      <c r="AH801" s="12">
        <f>IF(A801="","",IF(COUNTIF($A$2:$A$1000,A801)&gt;1,"Duplicate Job ID",IF(AND(AG801&lt;&gt;100,AG801&lt;&gt;0),"Weights must total 100",IF(Z801-Y801&lt;7,"Closing date must be 7+ days after opening","OK"))))</f>
        <v/>
      </c>
    </row>
    <row r="802">
      <c r="Y802" s="13" t="n"/>
      <c r="Z802" s="13" t="n"/>
      <c r="AF802" s="13" t="n"/>
      <c r="AG802" s="12">
        <f>IF(A802="","",SUMIFS('Assessment Weights'!$D:$D,'Assessment Weights'!$A:$A,A802))</f>
        <v/>
      </c>
      <c r="AH802" s="12">
        <f>IF(A802="","",IF(COUNTIF($A$2:$A$1000,A802)&gt;1,"Duplicate Job ID",IF(AND(AG802&lt;&gt;100,AG802&lt;&gt;0),"Weights must total 100",IF(Z802-Y802&lt;7,"Closing date must be 7+ days after opening","OK"))))</f>
        <v/>
      </c>
    </row>
    <row r="803">
      <c r="Y803" s="13" t="n"/>
      <c r="Z803" s="13" t="n"/>
      <c r="AF803" s="13" t="n"/>
      <c r="AG803" s="12">
        <f>IF(A803="","",SUMIFS('Assessment Weights'!$D:$D,'Assessment Weights'!$A:$A,A803))</f>
        <v/>
      </c>
      <c r="AH803" s="12">
        <f>IF(A803="","",IF(COUNTIF($A$2:$A$1000,A803)&gt;1,"Duplicate Job ID",IF(AND(AG803&lt;&gt;100,AG803&lt;&gt;0),"Weights must total 100",IF(Z803-Y803&lt;7,"Closing date must be 7+ days after opening","OK"))))</f>
        <v/>
      </c>
    </row>
    <row r="804">
      <c r="Y804" s="13" t="n"/>
      <c r="Z804" s="13" t="n"/>
      <c r="AF804" s="13" t="n"/>
      <c r="AG804" s="12">
        <f>IF(A804="","",SUMIFS('Assessment Weights'!$D:$D,'Assessment Weights'!$A:$A,A804))</f>
        <v/>
      </c>
      <c r="AH804" s="12">
        <f>IF(A804="","",IF(COUNTIF($A$2:$A$1000,A804)&gt;1,"Duplicate Job ID",IF(AND(AG804&lt;&gt;100,AG804&lt;&gt;0),"Weights must total 100",IF(Z804-Y804&lt;7,"Closing date must be 7+ days after opening","OK"))))</f>
        <v/>
      </c>
    </row>
    <row r="805">
      <c r="Y805" s="13" t="n"/>
      <c r="Z805" s="13" t="n"/>
      <c r="AF805" s="13" t="n"/>
      <c r="AG805" s="12">
        <f>IF(A805="","",SUMIFS('Assessment Weights'!$D:$D,'Assessment Weights'!$A:$A,A805))</f>
        <v/>
      </c>
      <c r="AH805" s="12">
        <f>IF(A805="","",IF(COUNTIF($A$2:$A$1000,A805)&gt;1,"Duplicate Job ID",IF(AND(AG805&lt;&gt;100,AG805&lt;&gt;0),"Weights must total 100",IF(Z805-Y805&lt;7,"Closing date must be 7+ days after opening","OK"))))</f>
        <v/>
      </c>
    </row>
    <row r="806">
      <c r="Y806" s="13" t="n"/>
      <c r="Z806" s="13" t="n"/>
      <c r="AF806" s="13" t="n"/>
      <c r="AG806" s="12">
        <f>IF(A806="","",SUMIFS('Assessment Weights'!$D:$D,'Assessment Weights'!$A:$A,A806))</f>
        <v/>
      </c>
      <c r="AH806" s="12">
        <f>IF(A806="","",IF(COUNTIF($A$2:$A$1000,A806)&gt;1,"Duplicate Job ID",IF(AND(AG806&lt;&gt;100,AG806&lt;&gt;0),"Weights must total 100",IF(Z806-Y806&lt;7,"Closing date must be 7+ days after opening","OK"))))</f>
        <v/>
      </c>
    </row>
    <row r="807">
      <c r="Y807" s="13" t="n"/>
      <c r="Z807" s="13" t="n"/>
      <c r="AF807" s="13" t="n"/>
      <c r="AG807" s="12">
        <f>IF(A807="","",SUMIFS('Assessment Weights'!$D:$D,'Assessment Weights'!$A:$A,A807))</f>
        <v/>
      </c>
      <c r="AH807" s="12">
        <f>IF(A807="","",IF(COUNTIF($A$2:$A$1000,A807)&gt;1,"Duplicate Job ID",IF(AND(AG807&lt;&gt;100,AG807&lt;&gt;0),"Weights must total 100",IF(Z807-Y807&lt;7,"Closing date must be 7+ days after opening","OK"))))</f>
        <v/>
      </c>
    </row>
    <row r="808">
      <c r="Y808" s="13" t="n"/>
      <c r="Z808" s="13" t="n"/>
      <c r="AF808" s="13" t="n"/>
      <c r="AG808" s="12">
        <f>IF(A808="","",SUMIFS('Assessment Weights'!$D:$D,'Assessment Weights'!$A:$A,A808))</f>
        <v/>
      </c>
      <c r="AH808" s="12">
        <f>IF(A808="","",IF(COUNTIF($A$2:$A$1000,A808)&gt;1,"Duplicate Job ID",IF(AND(AG808&lt;&gt;100,AG808&lt;&gt;0),"Weights must total 100",IF(Z808-Y808&lt;7,"Closing date must be 7+ days after opening","OK"))))</f>
        <v/>
      </c>
    </row>
    <row r="809">
      <c r="Y809" s="13" t="n"/>
      <c r="Z809" s="13" t="n"/>
      <c r="AF809" s="13" t="n"/>
      <c r="AG809" s="12">
        <f>IF(A809="","",SUMIFS('Assessment Weights'!$D:$D,'Assessment Weights'!$A:$A,A809))</f>
        <v/>
      </c>
      <c r="AH809" s="12">
        <f>IF(A809="","",IF(COUNTIF($A$2:$A$1000,A809)&gt;1,"Duplicate Job ID",IF(AND(AG809&lt;&gt;100,AG809&lt;&gt;0),"Weights must total 100",IF(Z809-Y809&lt;7,"Closing date must be 7+ days after opening","OK"))))</f>
        <v/>
      </c>
    </row>
    <row r="810">
      <c r="Y810" s="13" t="n"/>
      <c r="Z810" s="13" t="n"/>
      <c r="AF810" s="13" t="n"/>
      <c r="AG810" s="12">
        <f>IF(A810="","",SUMIFS('Assessment Weights'!$D:$D,'Assessment Weights'!$A:$A,A810))</f>
        <v/>
      </c>
      <c r="AH810" s="12">
        <f>IF(A810="","",IF(COUNTIF($A$2:$A$1000,A810)&gt;1,"Duplicate Job ID",IF(AND(AG810&lt;&gt;100,AG810&lt;&gt;0),"Weights must total 100",IF(Z810-Y810&lt;7,"Closing date must be 7+ days after opening","OK"))))</f>
        <v/>
      </c>
    </row>
    <row r="811">
      <c r="Y811" s="13" t="n"/>
      <c r="Z811" s="13" t="n"/>
      <c r="AF811" s="13" t="n"/>
      <c r="AG811" s="12">
        <f>IF(A811="","",SUMIFS('Assessment Weights'!$D:$D,'Assessment Weights'!$A:$A,A811))</f>
        <v/>
      </c>
      <c r="AH811" s="12">
        <f>IF(A811="","",IF(COUNTIF($A$2:$A$1000,A811)&gt;1,"Duplicate Job ID",IF(AND(AG811&lt;&gt;100,AG811&lt;&gt;0),"Weights must total 100",IF(Z811-Y811&lt;7,"Closing date must be 7+ days after opening","OK"))))</f>
        <v/>
      </c>
    </row>
    <row r="812">
      <c r="Y812" s="13" t="n"/>
      <c r="Z812" s="13" t="n"/>
      <c r="AF812" s="13" t="n"/>
      <c r="AG812" s="12">
        <f>IF(A812="","",SUMIFS('Assessment Weights'!$D:$D,'Assessment Weights'!$A:$A,A812))</f>
        <v/>
      </c>
      <c r="AH812" s="12">
        <f>IF(A812="","",IF(COUNTIF($A$2:$A$1000,A812)&gt;1,"Duplicate Job ID",IF(AND(AG812&lt;&gt;100,AG812&lt;&gt;0),"Weights must total 100",IF(Z812-Y812&lt;7,"Closing date must be 7+ days after opening","OK"))))</f>
        <v/>
      </c>
    </row>
    <row r="813">
      <c r="Y813" s="13" t="n"/>
      <c r="Z813" s="13" t="n"/>
      <c r="AF813" s="13" t="n"/>
      <c r="AG813" s="12">
        <f>IF(A813="","",SUMIFS('Assessment Weights'!$D:$D,'Assessment Weights'!$A:$A,A813))</f>
        <v/>
      </c>
      <c r="AH813" s="12">
        <f>IF(A813="","",IF(COUNTIF($A$2:$A$1000,A813)&gt;1,"Duplicate Job ID",IF(AND(AG813&lt;&gt;100,AG813&lt;&gt;0),"Weights must total 100",IF(Z813-Y813&lt;7,"Closing date must be 7+ days after opening","OK"))))</f>
        <v/>
      </c>
    </row>
    <row r="814">
      <c r="Y814" s="13" t="n"/>
      <c r="Z814" s="13" t="n"/>
      <c r="AF814" s="13" t="n"/>
      <c r="AG814" s="12">
        <f>IF(A814="","",SUMIFS('Assessment Weights'!$D:$D,'Assessment Weights'!$A:$A,A814))</f>
        <v/>
      </c>
      <c r="AH814" s="12">
        <f>IF(A814="","",IF(COUNTIF($A$2:$A$1000,A814)&gt;1,"Duplicate Job ID",IF(AND(AG814&lt;&gt;100,AG814&lt;&gt;0),"Weights must total 100",IF(Z814-Y814&lt;7,"Closing date must be 7+ days after opening","OK"))))</f>
        <v/>
      </c>
    </row>
    <row r="815">
      <c r="Y815" s="13" t="n"/>
      <c r="Z815" s="13" t="n"/>
      <c r="AF815" s="13" t="n"/>
      <c r="AG815" s="12">
        <f>IF(A815="","",SUMIFS('Assessment Weights'!$D:$D,'Assessment Weights'!$A:$A,A815))</f>
        <v/>
      </c>
      <c r="AH815" s="12">
        <f>IF(A815="","",IF(COUNTIF($A$2:$A$1000,A815)&gt;1,"Duplicate Job ID",IF(AND(AG815&lt;&gt;100,AG815&lt;&gt;0),"Weights must total 100",IF(Z815-Y815&lt;7,"Closing date must be 7+ days after opening","OK"))))</f>
        <v/>
      </c>
    </row>
    <row r="816">
      <c r="Y816" s="13" t="n"/>
      <c r="Z816" s="13" t="n"/>
      <c r="AF816" s="13" t="n"/>
      <c r="AG816" s="12">
        <f>IF(A816="","",SUMIFS('Assessment Weights'!$D:$D,'Assessment Weights'!$A:$A,A816))</f>
        <v/>
      </c>
      <c r="AH816" s="12">
        <f>IF(A816="","",IF(COUNTIF($A$2:$A$1000,A816)&gt;1,"Duplicate Job ID",IF(AND(AG816&lt;&gt;100,AG816&lt;&gt;0),"Weights must total 100",IF(Z816-Y816&lt;7,"Closing date must be 7+ days after opening","OK"))))</f>
        <v/>
      </c>
    </row>
    <row r="817">
      <c r="Y817" s="13" t="n"/>
      <c r="Z817" s="13" t="n"/>
      <c r="AF817" s="13" t="n"/>
      <c r="AG817" s="12">
        <f>IF(A817="","",SUMIFS('Assessment Weights'!$D:$D,'Assessment Weights'!$A:$A,A817))</f>
        <v/>
      </c>
      <c r="AH817" s="12">
        <f>IF(A817="","",IF(COUNTIF($A$2:$A$1000,A817)&gt;1,"Duplicate Job ID",IF(AND(AG817&lt;&gt;100,AG817&lt;&gt;0),"Weights must total 100",IF(Z817-Y817&lt;7,"Closing date must be 7+ days after opening","OK"))))</f>
        <v/>
      </c>
    </row>
    <row r="818">
      <c r="Y818" s="13" t="n"/>
      <c r="Z818" s="13" t="n"/>
      <c r="AF818" s="13" t="n"/>
      <c r="AG818" s="12">
        <f>IF(A818="","",SUMIFS('Assessment Weights'!$D:$D,'Assessment Weights'!$A:$A,A818))</f>
        <v/>
      </c>
      <c r="AH818" s="12">
        <f>IF(A818="","",IF(COUNTIF($A$2:$A$1000,A818)&gt;1,"Duplicate Job ID",IF(AND(AG818&lt;&gt;100,AG818&lt;&gt;0),"Weights must total 100",IF(Z818-Y818&lt;7,"Closing date must be 7+ days after opening","OK"))))</f>
        <v/>
      </c>
    </row>
    <row r="819">
      <c r="Y819" s="13" t="n"/>
      <c r="Z819" s="13" t="n"/>
      <c r="AF819" s="13" t="n"/>
      <c r="AG819" s="12">
        <f>IF(A819="","",SUMIFS('Assessment Weights'!$D:$D,'Assessment Weights'!$A:$A,A819))</f>
        <v/>
      </c>
      <c r="AH819" s="12">
        <f>IF(A819="","",IF(COUNTIF($A$2:$A$1000,A819)&gt;1,"Duplicate Job ID",IF(AND(AG819&lt;&gt;100,AG819&lt;&gt;0),"Weights must total 100",IF(Z819-Y819&lt;7,"Closing date must be 7+ days after opening","OK"))))</f>
        <v/>
      </c>
    </row>
    <row r="820">
      <c r="Y820" s="13" t="n"/>
      <c r="Z820" s="13" t="n"/>
      <c r="AF820" s="13" t="n"/>
      <c r="AG820" s="12">
        <f>IF(A820="","",SUMIFS('Assessment Weights'!$D:$D,'Assessment Weights'!$A:$A,A820))</f>
        <v/>
      </c>
      <c r="AH820" s="12">
        <f>IF(A820="","",IF(COUNTIF($A$2:$A$1000,A820)&gt;1,"Duplicate Job ID",IF(AND(AG820&lt;&gt;100,AG820&lt;&gt;0),"Weights must total 100",IF(Z820-Y820&lt;7,"Closing date must be 7+ days after opening","OK"))))</f>
        <v/>
      </c>
    </row>
    <row r="821">
      <c r="Y821" s="13" t="n"/>
      <c r="Z821" s="13" t="n"/>
      <c r="AF821" s="13" t="n"/>
      <c r="AG821" s="12">
        <f>IF(A821="","",SUMIFS('Assessment Weights'!$D:$D,'Assessment Weights'!$A:$A,A821))</f>
        <v/>
      </c>
      <c r="AH821" s="12">
        <f>IF(A821="","",IF(COUNTIF($A$2:$A$1000,A821)&gt;1,"Duplicate Job ID",IF(AND(AG821&lt;&gt;100,AG821&lt;&gt;0),"Weights must total 100",IF(Z821-Y821&lt;7,"Closing date must be 7+ days after opening","OK"))))</f>
        <v/>
      </c>
    </row>
    <row r="822">
      <c r="Y822" s="13" t="n"/>
      <c r="Z822" s="13" t="n"/>
      <c r="AF822" s="13" t="n"/>
      <c r="AG822" s="12">
        <f>IF(A822="","",SUMIFS('Assessment Weights'!$D:$D,'Assessment Weights'!$A:$A,A822))</f>
        <v/>
      </c>
      <c r="AH822" s="12">
        <f>IF(A822="","",IF(COUNTIF($A$2:$A$1000,A822)&gt;1,"Duplicate Job ID",IF(AND(AG822&lt;&gt;100,AG822&lt;&gt;0),"Weights must total 100",IF(Z822-Y822&lt;7,"Closing date must be 7+ days after opening","OK"))))</f>
        <v/>
      </c>
    </row>
    <row r="823">
      <c r="Y823" s="13" t="n"/>
      <c r="Z823" s="13" t="n"/>
      <c r="AF823" s="13" t="n"/>
      <c r="AG823" s="12">
        <f>IF(A823="","",SUMIFS('Assessment Weights'!$D:$D,'Assessment Weights'!$A:$A,A823))</f>
        <v/>
      </c>
      <c r="AH823" s="12">
        <f>IF(A823="","",IF(COUNTIF($A$2:$A$1000,A823)&gt;1,"Duplicate Job ID",IF(AND(AG823&lt;&gt;100,AG823&lt;&gt;0),"Weights must total 100",IF(Z823-Y823&lt;7,"Closing date must be 7+ days after opening","OK"))))</f>
        <v/>
      </c>
    </row>
    <row r="824">
      <c r="Y824" s="13" t="n"/>
      <c r="Z824" s="13" t="n"/>
      <c r="AF824" s="13" t="n"/>
      <c r="AG824" s="12">
        <f>IF(A824="","",SUMIFS('Assessment Weights'!$D:$D,'Assessment Weights'!$A:$A,A824))</f>
        <v/>
      </c>
      <c r="AH824" s="12">
        <f>IF(A824="","",IF(COUNTIF($A$2:$A$1000,A824)&gt;1,"Duplicate Job ID",IF(AND(AG824&lt;&gt;100,AG824&lt;&gt;0),"Weights must total 100",IF(Z824-Y824&lt;7,"Closing date must be 7+ days after opening","OK"))))</f>
        <v/>
      </c>
    </row>
    <row r="825">
      <c r="Y825" s="13" t="n"/>
      <c r="Z825" s="13" t="n"/>
      <c r="AF825" s="13" t="n"/>
      <c r="AG825" s="12">
        <f>IF(A825="","",SUMIFS('Assessment Weights'!$D:$D,'Assessment Weights'!$A:$A,A825))</f>
        <v/>
      </c>
      <c r="AH825" s="12">
        <f>IF(A825="","",IF(COUNTIF($A$2:$A$1000,A825)&gt;1,"Duplicate Job ID",IF(AND(AG825&lt;&gt;100,AG825&lt;&gt;0),"Weights must total 100",IF(Z825-Y825&lt;7,"Closing date must be 7+ days after opening","OK"))))</f>
        <v/>
      </c>
    </row>
    <row r="826">
      <c r="Y826" s="13" t="n"/>
      <c r="Z826" s="13" t="n"/>
      <c r="AF826" s="13" t="n"/>
      <c r="AG826" s="12">
        <f>IF(A826="","",SUMIFS('Assessment Weights'!$D:$D,'Assessment Weights'!$A:$A,A826))</f>
        <v/>
      </c>
      <c r="AH826" s="12">
        <f>IF(A826="","",IF(COUNTIF($A$2:$A$1000,A826)&gt;1,"Duplicate Job ID",IF(AND(AG826&lt;&gt;100,AG826&lt;&gt;0),"Weights must total 100",IF(Z826-Y826&lt;7,"Closing date must be 7+ days after opening","OK"))))</f>
        <v/>
      </c>
    </row>
    <row r="827">
      <c r="Y827" s="13" t="n"/>
      <c r="Z827" s="13" t="n"/>
      <c r="AF827" s="13" t="n"/>
      <c r="AG827" s="12">
        <f>IF(A827="","",SUMIFS('Assessment Weights'!$D:$D,'Assessment Weights'!$A:$A,A827))</f>
        <v/>
      </c>
      <c r="AH827" s="12">
        <f>IF(A827="","",IF(COUNTIF($A$2:$A$1000,A827)&gt;1,"Duplicate Job ID",IF(AND(AG827&lt;&gt;100,AG827&lt;&gt;0),"Weights must total 100",IF(Z827-Y827&lt;7,"Closing date must be 7+ days after opening","OK"))))</f>
        <v/>
      </c>
    </row>
    <row r="828">
      <c r="Y828" s="13" t="n"/>
      <c r="Z828" s="13" t="n"/>
      <c r="AF828" s="13" t="n"/>
      <c r="AG828" s="12">
        <f>IF(A828="","",SUMIFS('Assessment Weights'!$D:$D,'Assessment Weights'!$A:$A,A828))</f>
        <v/>
      </c>
      <c r="AH828" s="12">
        <f>IF(A828="","",IF(COUNTIF($A$2:$A$1000,A828)&gt;1,"Duplicate Job ID",IF(AND(AG828&lt;&gt;100,AG828&lt;&gt;0),"Weights must total 100",IF(Z828-Y828&lt;7,"Closing date must be 7+ days after opening","OK"))))</f>
        <v/>
      </c>
    </row>
    <row r="829">
      <c r="Y829" s="13" t="n"/>
      <c r="Z829" s="13" t="n"/>
      <c r="AF829" s="13" t="n"/>
      <c r="AG829" s="12">
        <f>IF(A829="","",SUMIFS('Assessment Weights'!$D:$D,'Assessment Weights'!$A:$A,A829))</f>
        <v/>
      </c>
      <c r="AH829" s="12">
        <f>IF(A829="","",IF(COUNTIF($A$2:$A$1000,A829)&gt;1,"Duplicate Job ID",IF(AND(AG829&lt;&gt;100,AG829&lt;&gt;0),"Weights must total 100",IF(Z829-Y829&lt;7,"Closing date must be 7+ days after opening","OK"))))</f>
        <v/>
      </c>
    </row>
    <row r="830">
      <c r="Y830" s="13" t="n"/>
      <c r="Z830" s="13" t="n"/>
      <c r="AF830" s="13" t="n"/>
      <c r="AG830" s="12">
        <f>IF(A830="","",SUMIFS('Assessment Weights'!$D:$D,'Assessment Weights'!$A:$A,A830))</f>
        <v/>
      </c>
      <c r="AH830" s="12">
        <f>IF(A830="","",IF(COUNTIF($A$2:$A$1000,A830)&gt;1,"Duplicate Job ID",IF(AND(AG830&lt;&gt;100,AG830&lt;&gt;0),"Weights must total 100",IF(Z830-Y830&lt;7,"Closing date must be 7+ days after opening","OK"))))</f>
        <v/>
      </c>
    </row>
    <row r="831">
      <c r="Y831" s="13" t="n"/>
      <c r="Z831" s="13" t="n"/>
      <c r="AF831" s="13" t="n"/>
      <c r="AG831" s="12">
        <f>IF(A831="","",SUMIFS('Assessment Weights'!$D:$D,'Assessment Weights'!$A:$A,A831))</f>
        <v/>
      </c>
      <c r="AH831" s="12">
        <f>IF(A831="","",IF(COUNTIF($A$2:$A$1000,A831)&gt;1,"Duplicate Job ID",IF(AND(AG831&lt;&gt;100,AG831&lt;&gt;0),"Weights must total 100",IF(Z831-Y831&lt;7,"Closing date must be 7+ days after opening","OK"))))</f>
        <v/>
      </c>
    </row>
    <row r="832">
      <c r="Y832" s="13" t="n"/>
      <c r="Z832" s="13" t="n"/>
      <c r="AF832" s="13" t="n"/>
      <c r="AG832" s="12">
        <f>IF(A832="","",SUMIFS('Assessment Weights'!$D:$D,'Assessment Weights'!$A:$A,A832))</f>
        <v/>
      </c>
      <c r="AH832" s="12">
        <f>IF(A832="","",IF(COUNTIF($A$2:$A$1000,A832)&gt;1,"Duplicate Job ID",IF(AND(AG832&lt;&gt;100,AG832&lt;&gt;0),"Weights must total 100",IF(Z832-Y832&lt;7,"Closing date must be 7+ days after opening","OK"))))</f>
        <v/>
      </c>
    </row>
    <row r="833">
      <c r="Y833" s="13" t="n"/>
      <c r="Z833" s="13" t="n"/>
      <c r="AF833" s="13" t="n"/>
      <c r="AG833" s="12">
        <f>IF(A833="","",SUMIFS('Assessment Weights'!$D:$D,'Assessment Weights'!$A:$A,A833))</f>
        <v/>
      </c>
      <c r="AH833" s="12">
        <f>IF(A833="","",IF(COUNTIF($A$2:$A$1000,A833)&gt;1,"Duplicate Job ID",IF(AND(AG833&lt;&gt;100,AG833&lt;&gt;0),"Weights must total 100",IF(Z833-Y833&lt;7,"Closing date must be 7+ days after opening","OK"))))</f>
        <v/>
      </c>
    </row>
    <row r="834">
      <c r="Y834" s="13" t="n"/>
      <c r="Z834" s="13" t="n"/>
      <c r="AF834" s="13" t="n"/>
      <c r="AG834" s="12">
        <f>IF(A834="","",SUMIFS('Assessment Weights'!$D:$D,'Assessment Weights'!$A:$A,A834))</f>
        <v/>
      </c>
      <c r="AH834" s="12">
        <f>IF(A834="","",IF(COUNTIF($A$2:$A$1000,A834)&gt;1,"Duplicate Job ID",IF(AND(AG834&lt;&gt;100,AG834&lt;&gt;0),"Weights must total 100",IF(Z834-Y834&lt;7,"Closing date must be 7+ days after opening","OK"))))</f>
        <v/>
      </c>
    </row>
    <row r="835">
      <c r="Y835" s="13" t="n"/>
      <c r="Z835" s="13" t="n"/>
      <c r="AF835" s="13" t="n"/>
      <c r="AG835" s="12">
        <f>IF(A835="","",SUMIFS('Assessment Weights'!$D:$D,'Assessment Weights'!$A:$A,A835))</f>
        <v/>
      </c>
      <c r="AH835" s="12">
        <f>IF(A835="","",IF(COUNTIF($A$2:$A$1000,A835)&gt;1,"Duplicate Job ID",IF(AND(AG835&lt;&gt;100,AG835&lt;&gt;0),"Weights must total 100",IF(Z835-Y835&lt;7,"Closing date must be 7+ days after opening","OK"))))</f>
        <v/>
      </c>
    </row>
    <row r="836">
      <c r="Y836" s="13" t="n"/>
      <c r="Z836" s="13" t="n"/>
      <c r="AF836" s="13" t="n"/>
      <c r="AG836" s="12">
        <f>IF(A836="","",SUMIFS('Assessment Weights'!$D:$D,'Assessment Weights'!$A:$A,A836))</f>
        <v/>
      </c>
      <c r="AH836" s="12">
        <f>IF(A836="","",IF(COUNTIF($A$2:$A$1000,A836)&gt;1,"Duplicate Job ID",IF(AND(AG836&lt;&gt;100,AG836&lt;&gt;0),"Weights must total 100",IF(Z836-Y836&lt;7,"Closing date must be 7+ days after opening","OK"))))</f>
        <v/>
      </c>
    </row>
    <row r="837">
      <c r="Y837" s="13" t="n"/>
      <c r="Z837" s="13" t="n"/>
      <c r="AF837" s="13" t="n"/>
      <c r="AG837" s="12">
        <f>IF(A837="","",SUMIFS('Assessment Weights'!$D:$D,'Assessment Weights'!$A:$A,A837))</f>
        <v/>
      </c>
      <c r="AH837" s="12">
        <f>IF(A837="","",IF(COUNTIF($A$2:$A$1000,A837)&gt;1,"Duplicate Job ID",IF(AND(AG837&lt;&gt;100,AG837&lt;&gt;0),"Weights must total 100",IF(Z837-Y837&lt;7,"Closing date must be 7+ days after opening","OK"))))</f>
        <v/>
      </c>
    </row>
    <row r="838">
      <c r="Y838" s="13" t="n"/>
      <c r="Z838" s="13" t="n"/>
      <c r="AF838" s="13" t="n"/>
      <c r="AG838" s="12">
        <f>IF(A838="","",SUMIFS('Assessment Weights'!$D:$D,'Assessment Weights'!$A:$A,A838))</f>
        <v/>
      </c>
      <c r="AH838" s="12">
        <f>IF(A838="","",IF(COUNTIF($A$2:$A$1000,A838)&gt;1,"Duplicate Job ID",IF(AND(AG838&lt;&gt;100,AG838&lt;&gt;0),"Weights must total 100",IF(Z838-Y838&lt;7,"Closing date must be 7+ days after opening","OK"))))</f>
        <v/>
      </c>
    </row>
    <row r="839">
      <c r="Y839" s="13" t="n"/>
      <c r="Z839" s="13" t="n"/>
      <c r="AF839" s="13" t="n"/>
      <c r="AG839" s="12">
        <f>IF(A839="","",SUMIFS('Assessment Weights'!$D:$D,'Assessment Weights'!$A:$A,A839))</f>
        <v/>
      </c>
      <c r="AH839" s="12">
        <f>IF(A839="","",IF(COUNTIF($A$2:$A$1000,A839)&gt;1,"Duplicate Job ID",IF(AND(AG839&lt;&gt;100,AG839&lt;&gt;0),"Weights must total 100",IF(Z839-Y839&lt;7,"Closing date must be 7+ days after opening","OK"))))</f>
        <v/>
      </c>
    </row>
    <row r="840">
      <c r="Y840" s="13" t="n"/>
      <c r="Z840" s="13" t="n"/>
      <c r="AF840" s="13" t="n"/>
      <c r="AG840" s="12">
        <f>IF(A840="","",SUMIFS('Assessment Weights'!$D:$D,'Assessment Weights'!$A:$A,A840))</f>
        <v/>
      </c>
      <c r="AH840" s="12">
        <f>IF(A840="","",IF(COUNTIF($A$2:$A$1000,A840)&gt;1,"Duplicate Job ID",IF(AND(AG840&lt;&gt;100,AG840&lt;&gt;0),"Weights must total 100",IF(Z840-Y840&lt;7,"Closing date must be 7+ days after opening","OK"))))</f>
        <v/>
      </c>
    </row>
    <row r="841">
      <c r="Y841" s="13" t="n"/>
      <c r="Z841" s="13" t="n"/>
      <c r="AF841" s="13" t="n"/>
      <c r="AG841" s="12">
        <f>IF(A841="","",SUMIFS('Assessment Weights'!$D:$D,'Assessment Weights'!$A:$A,A841))</f>
        <v/>
      </c>
      <c r="AH841" s="12">
        <f>IF(A841="","",IF(COUNTIF($A$2:$A$1000,A841)&gt;1,"Duplicate Job ID",IF(AND(AG841&lt;&gt;100,AG841&lt;&gt;0),"Weights must total 100",IF(Z841-Y841&lt;7,"Closing date must be 7+ days after opening","OK"))))</f>
        <v/>
      </c>
    </row>
    <row r="842">
      <c r="Y842" s="13" t="n"/>
      <c r="Z842" s="13" t="n"/>
      <c r="AF842" s="13" t="n"/>
      <c r="AG842" s="12">
        <f>IF(A842="","",SUMIFS('Assessment Weights'!$D:$D,'Assessment Weights'!$A:$A,A842))</f>
        <v/>
      </c>
      <c r="AH842" s="12">
        <f>IF(A842="","",IF(COUNTIF($A$2:$A$1000,A842)&gt;1,"Duplicate Job ID",IF(AND(AG842&lt;&gt;100,AG842&lt;&gt;0),"Weights must total 100",IF(Z842-Y842&lt;7,"Closing date must be 7+ days after opening","OK"))))</f>
        <v/>
      </c>
    </row>
    <row r="843">
      <c r="Y843" s="13" t="n"/>
      <c r="Z843" s="13" t="n"/>
      <c r="AF843" s="13" t="n"/>
      <c r="AG843" s="12">
        <f>IF(A843="","",SUMIFS('Assessment Weights'!$D:$D,'Assessment Weights'!$A:$A,A843))</f>
        <v/>
      </c>
      <c r="AH843" s="12">
        <f>IF(A843="","",IF(COUNTIF($A$2:$A$1000,A843)&gt;1,"Duplicate Job ID",IF(AND(AG843&lt;&gt;100,AG843&lt;&gt;0),"Weights must total 100",IF(Z843-Y843&lt;7,"Closing date must be 7+ days after opening","OK"))))</f>
        <v/>
      </c>
    </row>
    <row r="844">
      <c r="Y844" s="13" t="n"/>
      <c r="Z844" s="13" t="n"/>
      <c r="AF844" s="13" t="n"/>
      <c r="AG844" s="12">
        <f>IF(A844="","",SUMIFS('Assessment Weights'!$D:$D,'Assessment Weights'!$A:$A,A844))</f>
        <v/>
      </c>
      <c r="AH844" s="12">
        <f>IF(A844="","",IF(COUNTIF($A$2:$A$1000,A844)&gt;1,"Duplicate Job ID",IF(AND(AG844&lt;&gt;100,AG844&lt;&gt;0),"Weights must total 100",IF(Z844-Y844&lt;7,"Closing date must be 7+ days after opening","OK"))))</f>
        <v/>
      </c>
    </row>
    <row r="845">
      <c r="Y845" s="13" t="n"/>
      <c r="Z845" s="13" t="n"/>
      <c r="AF845" s="13" t="n"/>
      <c r="AG845" s="12">
        <f>IF(A845="","",SUMIFS('Assessment Weights'!$D:$D,'Assessment Weights'!$A:$A,A845))</f>
        <v/>
      </c>
      <c r="AH845" s="12">
        <f>IF(A845="","",IF(COUNTIF($A$2:$A$1000,A845)&gt;1,"Duplicate Job ID",IF(AND(AG845&lt;&gt;100,AG845&lt;&gt;0),"Weights must total 100",IF(Z845-Y845&lt;7,"Closing date must be 7+ days after opening","OK"))))</f>
        <v/>
      </c>
    </row>
    <row r="846">
      <c r="Y846" s="13" t="n"/>
      <c r="Z846" s="13" t="n"/>
      <c r="AF846" s="13" t="n"/>
      <c r="AG846" s="12">
        <f>IF(A846="","",SUMIFS('Assessment Weights'!$D:$D,'Assessment Weights'!$A:$A,A846))</f>
        <v/>
      </c>
      <c r="AH846" s="12">
        <f>IF(A846="","",IF(COUNTIF($A$2:$A$1000,A846)&gt;1,"Duplicate Job ID",IF(AND(AG846&lt;&gt;100,AG846&lt;&gt;0),"Weights must total 100",IF(Z846-Y846&lt;7,"Closing date must be 7+ days after opening","OK"))))</f>
        <v/>
      </c>
    </row>
    <row r="847">
      <c r="Y847" s="13" t="n"/>
      <c r="Z847" s="13" t="n"/>
      <c r="AF847" s="13" t="n"/>
      <c r="AG847" s="12">
        <f>IF(A847="","",SUMIFS('Assessment Weights'!$D:$D,'Assessment Weights'!$A:$A,A847))</f>
        <v/>
      </c>
      <c r="AH847" s="12">
        <f>IF(A847="","",IF(COUNTIF($A$2:$A$1000,A847)&gt;1,"Duplicate Job ID",IF(AND(AG847&lt;&gt;100,AG847&lt;&gt;0),"Weights must total 100",IF(Z847-Y847&lt;7,"Closing date must be 7+ days after opening","OK"))))</f>
        <v/>
      </c>
    </row>
    <row r="848">
      <c r="Y848" s="13" t="n"/>
      <c r="Z848" s="13" t="n"/>
      <c r="AF848" s="13" t="n"/>
      <c r="AG848" s="12">
        <f>IF(A848="","",SUMIFS('Assessment Weights'!$D:$D,'Assessment Weights'!$A:$A,A848))</f>
        <v/>
      </c>
      <c r="AH848" s="12">
        <f>IF(A848="","",IF(COUNTIF($A$2:$A$1000,A848)&gt;1,"Duplicate Job ID",IF(AND(AG848&lt;&gt;100,AG848&lt;&gt;0),"Weights must total 100",IF(Z848-Y848&lt;7,"Closing date must be 7+ days after opening","OK"))))</f>
        <v/>
      </c>
    </row>
    <row r="849">
      <c r="Y849" s="13" t="n"/>
      <c r="Z849" s="13" t="n"/>
      <c r="AF849" s="13" t="n"/>
      <c r="AG849" s="12">
        <f>IF(A849="","",SUMIFS('Assessment Weights'!$D:$D,'Assessment Weights'!$A:$A,A849))</f>
        <v/>
      </c>
      <c r="AH849" s="12">
        <f>IF(A849="","",IF(COUNTIF($A$2:$A$1000,A849)&gt;1,"Duplicate Job ID",IF(AND(AG849&lt;&gt;100,AG849&lt;&gt;0),"Weights must total 100",IF(Z849-Y849&lt;7,"Closing date must be 7+ days after opening","OK"))))</f>
        <v/>
      </c>
    </row>
    <row r="850">
      <c r="Y850" s="13" t="n"/>
      <c r="Z850" s="13" t="n"/>
      <c r="AF850" s="13" t="n"/>
      <c r="AG850" s="12">
        <f>IF(A850="","",SUMIFS('Assessment Weights'!$D:$D,'Assessment Weights'!$A:$A,A850))</f>
        <v/>
      </c>
      <c r="AH850" s="12">
        <f>IF(A850="","",IF(COUNTIF($A$2:$A$1000,A850)&gt;1,"Duplicate Job ID",IF(AND(AG850&lt;&gt;100,AG850&lt;&gt;0),"Weights must total 100",IF(Z850-Y850&lt;7,"Closing date must be 7+ days after opening","OK"))))</f>
        <v/>
      </c>
    </row>
    <row r="851">
      <c r="Y851" s="13" t="n"/>
      <c r="Z851" s="13" t="n"/>
      <c r="AF851" s="13" t="n"/>
      <c r="AG851" s="12">
        <f>IF(A851="","",SUMIFS('Assessment Weights'!$D:$D,'Assessment Weights'!$A:$A,A851))</f>
        <v/>
      </c>
      <c r="AH851" s="12">
        <f>IF(A851="","",IF(COUNTIF($A$2:$A$1000,A851)&gt;1,"Duplicate Job ID",IF(AND(AG851&lt;&gt;100,AG851&lt;&gt;0),"Weights must total 100",IF(Z851-Y851&lt;7,"Closing date must be 7+ days after opening","OK"))))</f>
        <v/>
      </c>
    </row>
    <row r="852">
      <c r="Y852" s="13" t="n"/>
      <c r="Z852" s="13" t="n"/>
      <c r="AF852" s="13" t="n"/>
      <c r="AG852" s="12">
        <f>IF(A852="","",SUMIFS('Assessment Weights'!$D:$D,'Assessment Weights'!$A:$A,A852))</f>
        <v/>
      </c>
      <c r="AH852" s="12">
        <f>IF(A852="","",IF(COUNTIF($A$2:$A$1000,A852)&gt;1,"Duplicate Job ID",IF(AND(AG852&lt;&gt;100,AG852&lt;&gt;0),"Weights must total 100",IF(Z852-Y852&lt;7,"Closing date must be 7+ days after opening","OK"))))</f>
        <v/>
      </c>
    </row>
    <row r="853">
      <c r="Y853" s="13" t="n"/>
      <c r="Z853" s="13" t="n"/>
      <c r="AF853" s="13" t="n"/>
      <c r="AG853" s="12">
        <f>IF(A853="","",SUMIFS('Assessment Weights'!$D:$D,'Assessment Weights'!$A:$A,A853))</f>
        <v/>
      </c>
      <c r="AH853" s="12">
        <f>IF(A853="","",IF(COUNTIF($A$2:$A$1000,A853)&gt;1,"Duplicate Job ID",IF(AND(AG853&lt;&gt;100,AG853&lt;&gt;0),"Weights must total 100",IF(Z853-Y853&lt;7,"Closing date must be 7+ days after opening","OK"))))</f>
        <v/>
      </c>
    </row>
    <row r="854">
      <c r="Y854" s="13" t="n"/>
      <c r="Z854" s="13" t="n"/>
      <c r="AF854" s="13" t="n"/>
      <c r="AG854" s="12">
        <f>IF(A854="","",SUMIFS('Assessment Weights'!$D:$D,'Assessment Weights'!$A:$A,A854))</f>
        <v/>
      </c>
      <c r="AH854" s="12">
        <f>IF(A854="","",IF(COUNTIF($A$2:$A$1000,A854)&gt;1,"Duplicate Job ID",IF(AND(AG854&lt;&gt;100,AG854&lt;&gt;0),"Weights must total 100",IF(Z854-Y854&lt;7,"Closing date must be 7+ days after opening","OK"))))</f>
        <v/>
      </c>
    </row>
    <row r="855">
      <c r="Y855" s="13" t="n"/>
      <c r="Z855" s="13" t="n"/>
      <c r="AF855" s="13" t="n"/>
      <c r="AG855" s="12">
        <f>IF(A855="","",SUMIFS('Assessment Weights'!$D:$D,'Assessment Weights'!$A:$A,A855))</f>
        <v/>
      </c>
      <c r="AH855" s="12">
        <f>IF(A855="","",IF(COUNTIF($A$2:$A$1000,A855)&gt;1,"Duplicate Job ID",IF(AND(AG855&lt;&gt;100,AG855&lt;&gt;0),"Weights must total 100",IF(Z855-Y855&lt;7,"Closing date must be 7+ days after opening","OK"))))</f>
        <v/>
      </c>
    </row>
    <row r="856">
      <c r="Y856" s="13" t="n"/>
      <c r="Z856" s="13" t="n"/>
      <c r="AF856" s="13" t="n"/>
      <c r="AG856" s="12">
        <f>IF(A856="","",SUMIFS('Assessment Weights'!$D:$D,'Assessment Weights'!$A:$A,A856))</f>
        <v/>
      </c>
      <c r="AH856" s="12">
        <f>IF(A856="","",IF(COUNTIF($A$2:$A$1000,A856)&gt;1,"Duplicate Job ID",IF(AND(AG856&lt;&gt;100,AG856&lt;&gt;0),"Weights must total 100",IF(Z856-Y856&lt;7,"Closing date must be 7+ days after opening","OK"))))</f>
        <v/>
      </c>
    </row>
    <row r="857">
      <c r="Y857" s="13" t="n"/>
      <c r="Z857" s="13" t="n"/>
      <c r="AF857" s="13" t="n"/>
      <c r="AG857" s="12">
        <f>IF(A857="","",SUMIFS('Assessment Weights'!$D:$D,'Assessment Weights'!$A:$A,A857))</f>
        <v/>
      </c>
      <c r="AH857" s="12">
        <f>IF(A857="","",IF(COUNTIF($A$2:$A$1000,A857)&gt;1,"Duplicate Job ID",IF(AND(AG857&lt;&gt;100,AG857&lt;&gt;0),"Weights must total 100",IF(Z857-Y857&lt;7,"Closing date must be 7+ days after opening","OK"))))</f>
        <v/>
      </c>
    </row>
    <row r="858">
      <c r="Y858" s="13" t="n"/>
      <c r="Z858" s="13" t="n"/>
      <c r="AF858" s="13" t="n"/>
      <c r="AG858" s="12">
        <f>IF(A858="","",SUMIFS('Assessment Weights'!$D:$D,'Assessment Weights'!$A:$A,A858))</f>
        <v/>
      </c>
      <c r="AH858" s="12">
        <f>IF(A858="","",IF(COUNTIF($A$2:$A$1000,A858)&gt;1,"Duplicate Job ID",IF(AND(AG858&lt;&gt;100,AG858&lt;&gt;0),"Weights must total 100",IF(Z858-Y858&lt;7,"Closing date must be 7+ days after opening","OK"))))</f>
        <v/>
      </c>
    </row>
    <row r="859">
      <c r="Y859" s="13" t="n"/>
      <c r="Z859" s="13" t="n"/>
      <c r="AF859" s="13" t="n"/>
      <c r="AG859" s="12">
        <f>IF(A859="","",SUMIFS('Assessment Weights'!$D:$D,'Assessment Weights'!$A:$A,A859))</f>
        <v/>
      </c>
      <c r="AH859" s="12">
        <f>IF(A859="","",IF(COUNTIF($A$2:$A$1000,A859)&gt;1,"Duplicate Job ID",IF(AND(AG859&lt;&gt;100,AG859&lt;&gt;0),"Weights must total 100",IF(Z859-Y859&lt;7,"Closing date must be 7+ days after opening","OK"))))</f>
        <v/>
      </c>
    </row>
    <row r="860">
      <c r="Y860" s="13" t="n"/>
      <c r="Z860" s="13" t="n"/>
      <c r="AF860" s="13" t="n"/>
      <c r="AG860" s="12">
        <f>IF(A860="","",SUMIFS('Assessment Weights'!$D:$D,'Assessment Weights'!$A:$A,A860))</f>
        <v/>
      </c>
      <c r="AH860" s="12">
        <f>IF(A860="","",IF(COUNTIF($A$2:$A$1000,A860)&gt;1,"Duplicate Job ID",IF(AND(AG860&lt;&gt;100,AG860&lt;&gt;0),"Weights must total 100",IF(Z860-Y860&lt;7,"Closing date must be 7+ days after opening","OK"))))</f>
        <v/>
      </c>
    </row>
    <row r="861">
      <c r="Y861" s="13" t="n"/>
      <c r="Z861" s="13" t="n"/>
      <c r="AF861" s="13" t="n"/>
      <c r="AG861" s="12">
        <f>IF(A861="","",SUMIFS('Assessment Weights'!$D:$D,'Assessment Weights'!$A:$A,A861))</f>
        <v/>
      </c>
      <c r="AH861" s="12">
        <f>IF(A861="","",IF(COUNTIF($A$2:$A$1000,A861)&gt;1,"Duplicate Job ID",IF(AND(AG861&lt;&gt;100,AG861&lt;&gt;0),"Weights must total 100",IF(Z861-Y861&lt;7,"Closing date must be 7+ days after opening","OK"))))</f>
        <v/>
      </c>
    </row>
    <row r="862">
      <c r="Y862" s="13" t="n"/>
      <c r="Z862" s="13" t="n"/>
      <c r="AF862" s="13" t="n"/>
      <c r="AG862" s="12">
        <f>IF(A862="","",SUMIFS('Assessment Weights'!$D:$D,'Assessment Weights'!$A:$A,A862))</f>
        <v/>
      </c>
      <c r="AH862" s="12">
        <f>IF(A862="","",IF(COUNTIF($A$2:$A$1000,A862)&gt;1,"Duplicate Job ID",IF(AND(AG862&lt;&gt;100,AG862&lt;&gt;0),"Weights must total 100",IF(Z862-Y862&lt;7,"Closing date must be 7+ days after opening","OK"))))</f>
        <v/>
      </c>
    </row>
    <row r="863">
      <c r="Y863" s="13" t="n"/>
      <c r="Z863" s="13" t="n"/>
      <c r="AF863" s="13" t="n"/>
      <c r="AG863" s="12">
        <f>IF(A863="","",SUMIFS('Assessment Weights'!$D:$D,'Assessment Weights'!$A:$A,A863))</f>
        <v/>
      </c>
      <c r="AH863" s="12">
        <f>IF(A863="","",IF(COUNTIF($A$2:$A$1000,A863)&gt;1,"Duplicate Job ID",IF(AND(AG863&lt;&gt;100,AG863&lt;&gt;0),"Weights must total 100",IF(Z863-Y863&lt;7,"Closing date must be 7+ days after opening","OK"))))</f>
        <v/>
      </c>
    </row>
    <row r="864">
      <c r="Y864" s="13" t="n"/>
      <c r="Z864" s="13" t="n"/>
      <c r="AF864" s="13" t="n"/>
      <c r="AG864" s="12">
        <f>IF(A864="","",SUMIFS('Assessment Weights'!$D:$D,'Assessment Weights'!$A:$A,A864))</f>
        <v/>
      </c>
      <c r="AH864" s="12">
        <f>IF(A864="","",IF(COUNTIF($A$2:$A$1000,A864)&gt;1,"Duplicate Job ID",IF(AND(AG864&lt;&gt;100,AG864&lt;&gt;0),"Weights must total 100",IF(Z864-Y864&lt;7,"Closing date must be 7+ days after opening","OK"))))</f>
        <v/>
      </c>
    </row>
    <row r="865">
      <c r="Y865" s="13" t="n"/>
      <c r="Z865" s="13" t="n"/>
      <c r="AF865" s="13" t="n"/>
      <c r="AG865" s="12">
        <f>IF(A865="","",SUMIFS('Assessment Weights'!$D:$D,'Assessment Weights'!$A:$A,A865))</f>
        <v/>
      </c>
      <c r="AH865" s="12">
        <f>IF(A865="","",IF(COUNTIF($A$2:$A$1000,A865)&gt;1,"Duplicate Job ID",IF(AND(AG865&lt;&gt;100,AG865&lt;&gt;0),"Weights must total 100",IF(Z865-Y865&lt;7,"Closing date must be 7+ days after opening","OK"))))</f>
        <v/>
      </c>
    </row>
    <row r="866">
      <c r="Y866" s="13" t="n"/>
      <c r="Z866" s="13" t="n"/>
      <c r="AF866" s="13" t="n"/>
      <c r="AG866" s="12">
        <f>IF(A866="","",SUMIFS('Assessment Weights'!$D:$D,'Assessment Weights'!$A:$A,A866))</f>
        <v/>
      </c>
      <c r="AH866" s="12">
        <f>IF(A866="","",IF(COUNTIF($A$2:$A$1000,A866)&gt;1,"Duplicate Job ID",IF(AND(AG866&lt;&gt;100,AG866&lt;&gt;0),"Weights must total 100",IF(Z866-Y866&lt;7,"Closing date must be 7+ days after opening","OK"))))</f>
        <v/>
      </c>
    </row>
    <row r="867">
      <c r="Y867" s="13" t="n"/>
      <c r="Z867" s="13" t="n"/>
      <c r="AF867" s="13" t="n"/>
      <c r="AG867" s="12">
        <f>IF(A867="","",SUMIFS('Assessment Weights'!$D:$D,'Assessment Weights'!$A:$A,A867))</f>
        <v/>
      </c>
      <c r="AH867" s="12">
        <f>IF(A867="","",IF(COUNTIF($A$2:$A$1000,A867)&gt;1,"Duplicate Job ID",IF(AND(AG867&lt;&gt;100,AG867&lt;&gt;0),"Weights must total 100",IF(Z867-Y867&lt;7,"Closing date must be 7+ days after opening","OK"))))</f>
        <v/>
      </c>
    </row>
    <row r="868">
      <c r="Y868" s="13" t="n"/>
      <c r="Z868" s="13" t="n"/>
      <c r="AF868" s="13" t="n"/>
      <c r="AG868" s="12">
        <f>IF(A868="","",SUMIFS('Assessment Weights'!$D:$D,'Assessment Weights'!$A:$A,A868))</f>
        <v/>
      </c>
      <c r="AH868" s="12">
        <f>IF(A868="","",IF(COUNTIF($A$2:$A$1000,A868)&gt;1,"Duplicate Job ID",IF(AND(AG868&lt;&gt;100,AG868&lt;&gt;0),"Weights must total 100",IF(Z868-Y868&lt;7,"Closing date must be 7+ days after opening","OK"))))</f>
        <v/>
      </c>
    </row>
    <row r="869">
      <c r="Y869" s="13" t="n"/>
      <c r="Z869" s="13" t="n"/>
      <c r="AF869" s="13" t="n"/>
      <c r="AG869" s="12">
        <f>IF(A869="","",SUMIFS('Assessment Weights'!$D:$D,'Assessment Weights'!$A:$A,A869))</f>
        <v/>
      </c>
      <c r="AH869" s="12">
        <f>IF(A869="","",IF(COUNTIF($A$2:$A$1000,A869)&gt;1,"Duplicate Job ID",IF(AND(AG869&lt;&gt;100,AG869&lt;&gt;0),"Weights must total 100",IF(Z869-Y869&lt;7,"Closing date must be 7+ days after opening","OK"))))</f>
        <v/>
      </c>
    </row>
    <row r="870">
      <c r="Y870" s="13" t="n"/>
      <c r="Z870" s="13" t="n"/>
      <c r="AF870" s="13" t="n"/>
      <c r="AG870" s="12">
        <f>IF(A870="","",SUMIFS('Assessment Weights'!$D:$D,'Assessment Weights'!$A:$A,A870))</f>
        <v/>
      </c>
      <c r="AH870" s="12">
        <f>IF(A870="","",IF(COUNTIF($A$2:$A$1000,A870)&gt;1,"Duplicate Job ID",IF(AND(AG870&lt;&gt;100,AG870&lt;&gt;0),"Weights must total 100",IF(Z870-Y870&lt;7,"Closing date must be 7+ days after opening","OK"))))</f>
        <v/>
      </c>
    </row>
    <row r="871">
      <c r="Y871" s="13" t="n"/>
      <c r="Z871" s="13" t="n"/>
      <c r="AF871" s="13" t="n"/>
      <c r="AG871" s="12">
        <f>IF(A871="","",SUMIFS('Assessment Weights'!$D:$D,'Assessment Weights'!$A:$A,A871))</f>
        <v/>
      </c>
      <c r="AH871" s="12">
        <f>IF(A871="","",IF(COUNTIF($A$2:$A$1000,A871)&gt;1,"Duplicate Job ID",IF(AND(AG871&lt;&gt;100,AG871&lt;&gt;0),"Weights must total 100",IF(Z871-Y871&lt;7,"Closing date must be 7+ days after opening","OK"))))</f>
        <v/>
      </c>
    </row>
    <row r="872">
      <c r="Y872" s="13" t="n"/>
      <c r="Z872" s="13" t="n"/>
      <c r="AF872" s="13" t="n"/>
      <c r="AG872" s="12">
        <f>IF(A872="","",SUMIFS('Assessment Weights'!$D:$D,'Assessment Weights'!$A:$A,A872))</f>
        <v/>
      </c>
      <c r="AH872" s="12">
        <f>IF(A872="","",IF(COUNTIF($A$2:$A$1000,A872)&gt;1,"Duplicate Job ID",IF(AND(AG872&lt;&gt;100,AG872&lt;&gt;0),"Weights must total 100",IF(Z872-Y872&lt;7,"Closing date must be 7+ days after opening","OK"))))</f>
        <v/>
      </c>
    </row>
    <row r="873">
      <c r="Y873" s="13" t="n"/>
      <c r="Z873" s="13" t="n"/>
      <c r="AF873" s="13" t="n"/>
      <c r="AG873" s="12">
        <f>IF(A873="","",SUMIFS('Assessment Weights'!$D:$D,'Assessment Weights'!$A:$A,A873))</f>
        <v/>
      </c>
      <c r="AH873" s="12">
        <f>IF(A873="","",IF(COUNTIF($A$2:$A$1000,A873)&gt;1,"Duplicate Job ID",IF(AND(AG873&lt;&gt;100,AG873&lt;&gt;0),"Weights must total 100",IF(Z873-Y873&lt;7,"Closing date must be 7+ days after opening","OK"))))</f>
        <v/>
      </c>
    </row>
    <row r="874">
      <c r="Y874" s="13" t="n"/>
      <c r="Z874" s="13" t="n"/>
      <c r="AF874" s="13" t="n"/>
      <c r="AG874" s="12">
        <f>IF(A874="","",SUMIFS('Assessment Weights'!$D:$D,'Assessment Weights'!$A:$A,A874))</f>
        <v/>
      </c>
      <c r="AH874" s="12">
        <f>IF(A874="","",IF(COUNTIF($A$2:$A$1000,A874)&gt;1,"Duplicate Job ID",IF(AND(AG874&lt;&gt;100,AG874&lt;&gt;0),"Weights must total 100",IF(Z874-Y874&lt;7,"Closing date must be 7+ days after opening","OK"))))</f>
        <v/>
      </c>
    </row>
    <row r="875">
      <c r="Y875" s="13" t="n"/>
      <c r="Z875" s="13" t="n"/>
      <c r="AF875" s="13" t="n"/>
      <c r="AG875" s="12">
        <f>IF(A875="","",SUMIFS('Assessment Weights'!$D:$D,'Assessment Weights'!$A:$A,A875))</f>
        <v/>
      </c>
      <c r="AH875" s="12">
        <f>IF(A875="","",IF(COUNTIF($A$2:$A$1000,A875)&gt;1,"Duplicate Job ID",IF(AND(AG875&lt;&gt;100,AG875&lt;&gt;0),"Weights must total 100",IF(Z875-Y875&lt;7,"Closing date must be 7+ days after opening","OK"))))</f>
        <v/>
      </c>
    </row>
    <row r="876">
      <c r="Y876" s="13" t="n"/>
      <c r="Z876" s="13" t="n"/>
      <c r="AF876" s="13" t="n"/>
      <c r="AG876" s="12">
        <f>IF(A876="","",SUMIFS('Assessment Weights'!$D:$D,'Assessment Weights'!$A:$A,A876))</f>
        <v/>
      </c>
      <c r="AH876" s="12">
        <f>IF(A876="","",IF(COUNTIF($A$2:$A$1000,A876)&gt;1,"Duplicate Job ID",IF(AND(AG876&lt;&gt;100,AG876&lt;&gt;0),"Weights must total 100",IF(Z876-Y876&lt;7,"Closing date must be 7+ days after opening","OK"))))</f>
        <v/>
      </c>
    </row>
    <row r="877">
      <c r="Y877" s="13" t="n"/>
      <c r="Z877" s="13" t="n"/>
      <c r="AF877" s="13" t="n"/>
      <c r="AG877" s="12">
        <f>IF(A877="","",SUMIFS('Assessment Weights'!$D:$D,'Assessment Weights'!$A:$A,A877))</f>
        <v/>
      </c>
      <c r="AH877" s="12">
        <f>IF(A877="","",IF(COUNTIF($A$2:$A$1000,A877)&gt;1,"Duplicate Job ID",IF(AND(AG877&lt;&gt;100,AG877&lt;&gt;0),"Weights must total 100",IF(Z877-Y877&lt;7,"Closing date must be 7+ days after opening","OK"))))</f>
        <v/>
      </c>
    </row>
    <row r="878">
      <c r="Y878" s="13" t="n"/>
      <c r="Z878" s="13" t="n"/>
      <c r="AF878" s="13" t="n"/>
      <c r="AG878" s="12">
        <f>IF(A878="","",SUMIFS('Assessment Weights'!$D:$D,'Assessment Weights'!$A:$A,A878))</f>
        <v/>
      </c>
      <c r="AH878" s="12">
        <f>IF(A878="","",IF(COUNTIF($A$2:$A$1000,A878)&gt;1,"Duplicate Job ID",IF(AND(AG878&lt;&gt;100,AG878&lt;&gt;0),"Weights must total 100",IF(Z878-Y878&lt;7,"Closing date must be 7+ days after opening","OK"))))</f>
        <v/>
      </c>
    </row>
    <row r="879">
      <c r="Y879" s="13" t="n"/>
      <c r="Z879" s="13" t="n"/>
      <c r="AF879" s="13" t="n"/>
      <c r="AG879" s="12">
        <f>IF(A879="","",SUMIFS('Assessment Weights'!$D:$D,'Assessment Weights'!$A:$A,A879))</f>
        <v/>
      </c>
      <c r="AH879" s="12">
        <f>IF(A879="","",IF(COUNTIF($A$2:$A$1000,A879)&gt;1,"Duplicate Job ID",IF(AND(AG879&lt;&gt;100,AG879&lt;&gt;0),"Weights must total 100",IF(Z879-Y879&lt;7,"Closing date must be 7+ days after opening","OK"))))</f>
        <v/>
      </c>
    </row>
    <row r="880">
      <c r="Y880" s="13" t="n"/>
      <c r="Z880" s="13" t="n"/>
      <c r="AF880" s="13" t="n"/>
      <c r="AG880" s="12">
        <f>IF(A880="","",SUMIFS('Assessment Weights'!$D:$D,'Assessment Weights'!$A:$A,A880))</f>
        <v/>
      </c>
      <c r="AH880" s="12">
        <f>IF(A880="","",IF(COUNTIF($A$2:$A$1000,A880)&gt;1,"Duplicate Job ID",IF(AND(AG880&lt;&gt;100,AG880&lt;&gt;0),"Weights must total 100",IF(Z880-Y880&lt;7,"Closing date must be 7+ days after opening","OK"))))</f>
        <v/>
      </c>
    </row>
    <row r="881">
      <c r="Y881" s="13" t="n"/>
      <c r="Z881" s="13" t="n"/>
      <c r="AF881" s="13" t="n"/>
      <c r="AG881" s="12">
        <f>IF(A881="","",SUMIFS('Assessment Weights'!$D:$D,'Assessment Weights'!$A:$A,A881))</f>
        <v/>
      </c>
      <c r="AH881" s="12">
        <f>IF(A881="","",IF(COUNTIF($A$2:$A$1000,A881)&gt;1,"Duplicate Job ID",IF(AND(AG881&lt;&gt;100,AG881&lt;&gt;0),"Weights must total 100",IF(Z881-Y881&lt;7,"Closing date must be 7+ days after opening","OK"))))</f>
        <v/>
      </c>
    </row>
    <row r="882">
      <c r="Y882" s="13" t="n"/>
      <c r="Z882" s="13" t="n"/>
      <c r="AF882" s="13" t="n"/>
      <c r="AG882" s="12">
        <f>IF(A882="","",SUMIFS('Assessment Weights'!$D:$D,'Assessment Weights'!$A:$A,A882))</f>
        <v/>
      </c>
      <c r="AH882" s="12">
        <f>IF(A882="","",IF(COUNTIF($A$2:$A$1000,A882)&gt;1,"Duplicate Job ID",IF(AND(AG882&lt;&gt;100,AG882&lt;&gt;0),"Weights must total 100",IF(Z882-Y882&lt;7,"Closing date must be 7+ days after opening","OK"))))</f>
        <v/>
      </c>
    </row>
    <row r="883">
      <c r="Y883" s="13" t="n"/>
      <c r="Z883" s="13" t="n"/>
      <c r="AF883" s="13" t="n"/>
      <c r="AG883" s="12">
        <f>IF(A883="","",SUMIFS('Assessment Weights'!$D:$D,'Assessment Weights'!$A:$A,A883))</f>
        <v/>
      </c>
      <c r="AH883" s="12">
        <f>IF(A883="","",IF(COUNTIF($A$2:$A$1000,A883)&gt;1,"Duplicate Job ID",IF(AND(AG883&lt;&gt;100,AG883&lt;&gt;0),"Weights must total 100",IF(Z883-Y883&lt;7,"Closing date must be 7+ days after opening","OK"))))</f>
        <v/>
      </c>
    </row>
    <row r="884">
      <c r="Y884" s="13" t="n"/>
      <c r="Z884" s="13" t="n"/>
      <c r="AF884" s="13" t="n"/>
      <c r="AG884" s="12">
        <f>IF(A884="","",SUMIFS('Assessment Weights'!$D:$D,'Assessment Weights'!$A:$A,A884))</f>
        <v/>
      </c>
      <c r="AH884" s="12">
        <f>IF(A884="","",IF(COUNTIF($A$2:$A$1000,A884)&gt;1,"Duplicate Job ID",IF(AND(AG884&lt;&gt;100,AG884&lt;&gt;0),"Weights must total 100",IF(Z884-Y884&lt;7,"Closing date must be 7+ days after opening","OK"))))</f>
        <v/>
      </c>
    </row>
    <row r="885">
      <c r="Y885" s="13" t="n"/>
      <c r="Z885" s="13" t="n"/>
      <c r="AF885" s="13" t="n"/>
      <c r="AG885" s="12">
        <f>IF(A885="","",SUMIFS('Assessment Weights'!$D:$D,'Assessment Weights'!$A:$A,A885))</f>
        <v/>
      </c>
      <c r="AH885" s="12">
        <f>IF(A885="","",IF(COUNTIF($A$2:$A$1000,A885)&gt;1,"Duplicate Job ID",IF(AND(AG885&lt;&gt;100,AG885&lt;&gt;0),"Weights must total 100",IF(Z885-Y885&lt;7,"Closing date must be 7+ days after opening","OK"))))</f>
        <v/>
      </c>
    </row>
    <row r="886">
      <c r="Y886" s="13" t="n"/>
      <c r="Z886" s="13" t="n"/>
      <c r="AF886" s="13" t="n"/>
      <c r="AG886" s="12">
        <f>IF(A886="","",SUMIFS('Assessment Weights'!$D:$D,'Assessment Weights'!$A:$A,A886))</f>
        <v/>
      </c>
      <c r="AH886" s="12">
        <f>IF(A886="","",IF(COUNTIF($A$2:$A$1000,A886)&gt;1,"Duplicate Job ID",IF(AND(AG886&lt;&gt;100,AG886&lt;&gt;0),"Weights must total 100",IF(Z886-Y886&lt;7,"Closing date must be 7+ days after opening","OK"))))</f>
        <v/>
      </c>
    </row>
    <row r="887">
      <c r="Y887" s="13" t="n"/>
      <c r="Z887" s="13" t="n"/>
      <c r="AF887" s="13" t="n"/>
      <c r="AG887" s="12">
        <f>IF(A887="","",SUMIFS('Assessment Weights'!$D:$D,'Assessment Weights'!$A:$A,A887))</f>
        <v/>
      </c>
      <c r="AH887" s="12">
        <f>IF(A887="","",IF(COUNTIF($A$2:$A$1000,A887)&gt;1,"Duplicate Job ID",IF(AND(AG887&lt;&gt;100,AG887&lt;&gt;0),"Weights must total 100",IF(Z887-Y887&lt;7,"Closing date must be 7+ days after opening","OK"))))</f>
        <v/>
      </c>
    </row>
    <row r="888">
      <c r="Y888" s="13" t="n"/>
      <c r="Z888" s="13" t="n"/>
      <c r="AF888" s="13" t="n"/>
      <c r="AG888" s="12">
        <f>IF(A888="","",SUMIFS('Assessment Weights'!$D:$D,'Assessment Weights'!$A:$A,A888))</f>
        <v/>
      </c>
      <c r="AH888" s="12">
        <f>IF(A888="","",IF(COUNTIF($A$2:$A$1000,A888)&gt;1,"Duplicate Job ID",IF(AND(AG888&lt;&gt;100,AG888&lt;&gt;0),"Weights must total 100",IF(Z888-Y888&lt;7,"Closing date must be 7+ days after opening","OK"))))</f>
        <v/>
      </c>
    </row>
    <row r="889">
      <c r="Y889" s="13" t="n"/>
      <c r="Z889" s="13" t="n"/>
      <c r="AF889" s="13" t="n"/>
      <c r="AG889" s="12">
        <f>IF(A889="","",SUMIFS('Assessment Weights'!$D:$D,'Assessment Weights'!$A:$A,A889))</f>
        <v/>
      </c>
      <c r="AH889" s="12">
        <f>IF(A889="","",IF(COUNTIF($A$2:$A$1000,A889)&gt;1,"Duplicate Job ID",IF(AND(AG889&lt;&gt;100,AG889&lt;&gt;0),"Weights must total 100",IF(Z889-Y889&lt;7,"Closing date must be 7+ days after opening","OK"))))</f>
        <v/>
      </c>
    </row>
    <row r="890">
      <c r="Y890" s="13" t="n"/>
      <c r="Z890" s="13" t="n"/>
      <c r="AF890" s="13" t="n"/>
      <c r="AG890" s="12">
        <f>IF(A890="","",SUMIFS('Assessment Weights'!$D:$D,'Assessment Weights'!$A:$A,A890))</f>
        <v/>
      </c>
      <c r="AH890" s="12">
        <f>IF(A890="","",IF(COUNTIF($A$2:$A$1000,A890)&gt;1,"Duplicate Job ID",IF(AND(AG890&lt;&gt;100,AG890&lt;&gt;0),"Weights must total 100",IF(Z890-Y890&lt;7,"Closing date must be 7+ days after opening","OK"))))</f>
        <v/>
      </c>
    </row>
    <row r="891">
      <c r="Y891" s="13" t="n"/>
      <c r="Z891" s="13" t="n"/>
      <c r="AF891" s="13" t="n"/>
      <c r="AG891" s="12">
        <f>IF(A891="","",SUMIFS('Assessment Weights'!$D:$D,'Assessment Weights'!$A:$A,A891))</f>
        <v/>
      </c>
      <c r="AH891" s="12">
        <f>IF(A891="","",IF(COUNTIF($A$2:$A$1000,A891)&gt;1,"Duplicate Job ID",IF(AND(AG891&lt;&gt;100,AG891&lt;&gt;0),"Weights must total 100",IF(Z891-Y891&lt;7,"Closing date must be 7+ days after opening","OK"))))</f>
        <v/>
      </c>
    </row>
    <row r="892">
      <c r="Y892" s="13" t="n"/>
      <c r="Z892" s="13" t="n"/>
      <c r="AF892" s="13" t="n"/>
      <c r="AG892" s="12">
        <f>IF(A892="","",SUMIFS('Assessment Weights'!$D:$D,'Assessment Weights'!$A:$A,A892))</f>
        <v/>
      </c>
      <c r="AH892" s="12">
        <f>IF(A892="","",IF(COUNTIF($A$2:$A$1000,A892)&gt;1,"Duplicate Job ID",IF(AND(AG892&lt;&gt;100,AG892&lt;&gt;0),"Weights must total 100",IF(Z892-Y892&lt;7,"Closing date must be 7+ days after opening","OK"))))</f>
        <v/>
      </c>
    </row>
    <row r="893">
      <c r="Y893" s="13" t="n"/>
      <c r="Z893" s="13" t="n"/>
      <c r="AF893" s="13" t="n"/>
      <c r="AG893" s="12">
        <f>IF(A893="","",SUMIFS('Assessment Weights'!$D:$D,'Assessment Weights'!$A:$A,A893))</f>
        <v/>
      </c>
      <c r="AH893" s="12">
        <f>IF(A893="","",IF(COUNTIF($A$2:$A$1000,A893)&gt;1,"Duplicate Job ID",IF(AND(AG893&lt;&gt;100,AG893&lt;&gt;0),"Weights must total 100",IF(Z893-Y893&lt;7,"Closing date must be 7+ days after opening","OK"))))</f>
        <v/>
      </c>
    </row>
    <row r="894">
      <c r="Y894" s="13" t="n"/>
      <c r="Z894" s="13" t="n"/>
      <c r="AF894" s="13" t="n"/>
      <c r="AG894" s="12">
        <f>IF(A894="","",SUMIFS('Assessment Weights'!$D:$D,'Assessment Weights'!$A:$A,A894))</f>
        <v/>
      </c>
      <c r="AH894" s="12">
        <f>IF(A894="","",IF(COUNTIF($A$2:$A$1000,A894)&gt;1,"Duplicate Job ID",IF(AND(AG894&lt;&gt;100,AG894&lt;&gt;0),"Weights must total 100",IF(Z894-Y894&lt;7,"Closing date must be 7+ days after opening","OK"))))</f>
        <v/>
      </c>
    </row>
    <row r="895">
      <c r="Y895" s="13" t="n"/>
      <c r="Z895" s="13" t="n"/>
      <c r="AF895" s="13" t="n"/>
      <c r="AG895" s="12">
        <f>IF(A895="","",SUMIFS('Assessment Weights'!$D:$D,'Assessment Weights'!$A:$A,A895))</f>
        <v/>
      </c>
      <c r="AH895" s="12">
        <f>IF(A895="","",IF(COUNTIF($A$2:$A$1000,A895)&gt;1,"Duplicate Job ID",IF(AND(AG895&lt;&gt;100,AG895&lt;&gt;0),"Weights must total 100",IF(Z895-Y895&lt;7,"Closing date must be 7+ days after opening","OK"))))</f>
        <v/>
      </c>
    </row>
    <row r="896">
      <c r="Y896" s="13" t="n"/>
      <c r="Z896" s="13" t="n"/>
      <c r="AF896" s="13" t="n"/>
      <c r="AG896" s="12">
        <f>IF(A896="","",SUMIFS('Assessment Weights'!$D:$D,'Assessment Weights'!$A:$A,A896))</f>
        <v/>
      </c>
      <c r="AH896" s="12">
        <f>IF(A896="","",IF(COUNTIF($A$2:$A$1000,A896)&gt;1,"Duplicate Job ID",IF(AND(AG896&lt;&gt;100,AG896&lt;&gt;0),"Weights must total 100",IF(Z896-Y896&lt;7,"Closing date must be 7+ days after opening","OK"))))</f>
        <v/>
      </c>
    </row>
    <row r="897">
      <c r="Y897" s="13" t="n"/>
      <c r="Z897" s="13" t="n"/>
      <c r="AF897" s="13" t="n"/>
      <c r="AG897" s="12">
        <f>IF(A897="","",SUMIFS('Assessment Weights'!$D:$D,'Assessment Weights'!$A:$A,A897))</f>
        <v/>
      </c>
      <c r="AH897" s="12">
        <f>IF(A897="","",IF(COUNTIF($A$2:$A$1000,A897)&gt;1,"Duplicate Job ID",IF(AND(AG897&lt;&gt;100,AG897&lt;&gt;0),"Weights must total 100",IF(Z897-Y897&lt;7,"Closing date must be 7+ days after opening","OK"))))</f>
        <v/>
      </c>
    </row>
    <row r="898">
      <c r="Y898" s="13" t="n"/>
      <c r="Z898" s="13" t="n"/>
      <c r="AF898" s="13" t="n"/>
      <c r="AG898" s="12">
        <f>IF(A898="","",SUMIFS('Assessment Weights'!$D:$D,'Assessment Weights'!$A:$A,A898))</f>
        <v/>
      </c>
      <c r="AH898" s="12">
        <f>IF(A898="","",IF(COUNTIF($A$2:$A$1000,A898)&gt;1,"Duplicate Job ID",IF(AND(AG898&lt;&gt;100,AG898&lt;&gt;0),"Weights must total 100",IF(Z898-Y898&lt;7,"Closing date must be 7+ days after opening","OK"))))</f>
        <v/>
      </c>
    </row>
    <row r="899">
      <c r="Y899" s="13" t="n"/>
      <c r="Z899" s="13" t="n"/>
      <c r="AF899" s="13" t="n"/>
      <c r="AG899" s="12">
        <f>IF(A899="","",SUMIFS('Assessment Weights'!$D:$D,'Assessment Weights'!$A:$A,A899))</f>
        <v/>
      </c>
      <c r="AH899" s="12">
        <f>IF(A899="","",IF(COUNTIF($A$2:$A$1000,A899)&gt;1,"Duplicate Job ID",IF(AND(AG899&lt;&gt;100,AG899&lt;&gt;0),"Weights must total 100",IF(Z899-Y899&lt;7,"Closing date must be 7+ days after opening","OK"))))</f>
        <v/>
      </c>
    </row>
    <row r="900">
      <c r="Y900" s="13" t="n"/>
      <c r="Z900" s="13" t="n"/>
      <c r="AF900" s="13" t="n"/>
      <c r="AG900" s="12">
        <f>IF(A900="","",SUMIFS('Assessment Weights'!$D:$D,'Assessment Weights'!$A:$A,A900))</f>
        <v/>
      </c>
      <c r="AH900" s="12">
        <f>IF(A900="","",IF(COUNTIF($A$2:$A$1000,A900)&gt;1,"Duplicate Job ID",IF(AND(AG900&lt;&gt;100,AG900&lt;&gt;0),"Weights must total 100",IF(Z900-Y900&lt;7,"Closing date must be 7+ days after opening","OK"))))</f>
        <v/>
      </c>
    </row>
    <row r="901">
      <c r="Y901" s="13" t="n"/>
      <c r="Z901" s="13" t="n"/>
      <c r="AF901" s="13" t="n"/>
      <c r="AG901" s="12">
        <f>IF(A901="","",SUMIFS('Assessment Weights'!$D:$D,'Assessment Weights'!$A:$A,A901))</f>
        <v/>
      </c>
      <c r="AH901" s="12">
        <f>IF(A901="","",IF(COUNTIF($A$2:$A$1000,A901)&gt;1,"Duplicate Job ID",IF(AND(AG901&lt;&gt;100,AG901&lt;&gt;0),"Weights must total 100",IF(Z901-Y901&lt;7,"Closing date must be 7+ days after opening","OK"))))</f>
        <v/>
      </c>
    </row>
    <row r="902">
      <c r="Y902" s="13" t="n"/>
      <c r="Z902" s="13" t="n"/>
      <c r="AF902" s="13" t="n"/>
      <c r="AG902" s="12">
        <f>IF(A902="","",SUMIFS('Assessment Weights'!$D:$D,'Assessment Weights'!$A:$A,A902))</f>
        <v/>
      </c>
      <c r="AH902" s="12">
        <f>IF(A902="","",IF(COUNTIF($A$2:$A$1000,A902)&gt;1,"Duplicate Job ID",IF(AND(AG902&lt;&gt;100,AG902&lt;&gt;0),"Weights must total 100",IF(Z902-Y902&lt;7,"Closing date must be 7+ days after opening","OK"))))</f>
        <v/>
      </c>
    </row>
    <row r="903">
      <c r="Y903" s="13" t="n"/>
      <c r="Z903" s="13" t="n"/>
      <c r="AF903" s="13" t="n"/>
      <c r="AG903" s="12">
        <f>IF(A903="","",SUMIFS('Assessment Weights'!$D:$D,'Assessment Weights'!$A:$A,A903))</f>
        <v/>
      </c>
      <c r="AH903" s="12">
        <f>IF(A903="","",IF(COUNTIF($A$2:$A$1000,A903)&gt;1,"Duplicate Job ID",IF(AND(AG903&lt;&gt;100,AG903&lt;&gt;0),"Weights must total 100",IF(Z903-Y903&lt;7,"Closing date must be 7+ days after opening","OK"))))</f>
        <v/>
      </c>
    </row>
    <row r="904">
      <c r="Y904" s="13" t="n"/>
      <c r="Z904" s="13" t="n"/>
      <c r="AF904" s="13" t="n"/>
      <c r="AG904" s="12">
        <f>IF(A904="","",SUMIFS('Assessment Weights'!$D:$D,'Assessment Weights'!$A:$A,A904))</f>
        <v/>
      </c>
      <c r="AH904" s="12">
        <f>IF(A904="","",IF(COUNTIF($A$2:$A$1000,A904)&gt;1,"Duplicate Job ID",IF(AND(AG904&lt;&gt;100,AG904&lt;&gt;0),"Weights must total 100",IF(Z904-Y904&lt;7,"Closing date must be 7+ days after opening","OK"))))</f>
        <v/>
      </c>
    </row>
    <row r="905">
      <c r="Y905" s="13" t="n"/>
      <c r="Z905" s="13" t="n"/>
      <c r="AF905" s="13" t="n"/>
      <c r="AG905" s="12">
        <f>IF(A905="","",SUMIFS('Assessment Weights'!$D:$D,'Assessment Weights'!$A:$A,A905))</f>
        <v/>
      </c>
      <c r="AH905" s="12">
        <f>IF(A905="","",IF(COUNTIF($A$2:$A$1000,A905)&gt;1,"Duplicate Job ID",IF(AND(AG905&lt;&gt;100,AG905&lt;&gt;0),"Weights must total 100",IF(Z905-Y905&lt;7,"Closing date must be 7+ days after opening","OK"))))</f>
        <v/>
      </c>
    </row>
    <row r="906">
      <c r="Y906" s="13" t="n"/>
      <c r="Z906" s="13" t="n"/>
      <c r="AF906" s="13" t="n"/>
      <c r="AG906" s="12">
        <f>IF(A906="","",SUMIFS('Assessment Weights'!$D:$D,'Assessment Weights'!$A:$A,A906))</f>
        <v/>
      </c>
      <c r="AH906" s="12">
        <f>IF(A906="","",IF(COUNTIF($A$2:$A$1000,A906)&gt;1,"Duplicate Job ID",IF(AND(AG906&lt;&gt;100,AG906&lt;&gt;0),"Weights must total 100",IF(Z906-Y906&lt;7,"Closing date must be 7+ days after opening","OK"))))</f>
        <v/>
      </c>
    </row>
    <row r="907">
      <c r="Y907" s="13" t="n"/>
      <c r="Z907" s="13" t="n"/>
      <c r="AF907" s="13" t="n"/>
      <c r="AG907" s="12">
        <f>IF(A907="","",SUMIFS('Assessment Weights'!$D:$D,'Assessment Weights'!$A:$A,A907))</f>
        <v/>
      </c>
      <c r="AH907" s="12">
        <f>IF(A907="","",IF(COUNTIF($A$2:$A$1000,A907)&gt;1,"Duplicate Job ID",IF(AND(AG907&lt;&gt;100,AG907&lt;&gt;0),"Weights must total 100",IF(Z907-Y907&lt;7,"Closing date must be 7+ days after opening","OK"))))</f>
        <v/>
      </c>
    </row>
    <row r="908">
      <c r="Y908" s="13" t="n"/>
      <c r="Z908" s="13" t="n"/>
      <c r="AF908" s="13" t="n"/>
      <c r="AG908" s="12">
        <f>IF(A908="","",SUMIFS('Assessment Weights'!$D:$D,'Assessment Weights'!$A:$A,A908))</f>
        <v/>
      </c>
      <c r="AH908" s="12">
        <f>IF(A908="","",IF(COUNTIF($A$2:$A$1000,A908)&gt;1,"Duplicate Job ID",IF(AND(AG908&lt;&gt;100,AG908&lt;&gt;0),"Weights must total 100",IF(Z908-Y908&lt;7,"Closing date must be 7+ days after opening","OK"))))</f>
        <v/>
      </c>
    </row>
    <row r="909">
      <c r="Y909" s="13" t="n"/>
      <c r="Z909" s="13" t="n"/>
      <c r="AF909" s="13" t="n"/>
      <c r="AG909" s="12">
        <f>IF(A909="","",SUMIFS('Assessment Weights'!$D:$D,'Assessment Weights'!$A:$A,A909))</f>
        <v/>
      </c>
      <c r="AH909" s="12">
        <f>IF(A909="","",IF(COUNTIF($A$2:$A$1000,A909)&gt;1,"Duplicate Job ID",IF(AND(AG909&lt;&gt;100,AG909&lt;&gt;0),"Weights must total 100",IF(Z909-Y909&lt;7,"Closing date must be 7+ days after opening","OK"))))</f>
        <v/>
      </c>
    </row>
    <row r="910">
      <c r="Y910" s="13" t="n"/>
      <c r="Z910" s="13" t="n"/>
      <c r="AF910" s="13" t="n"/>
      <c r="AG910" s="12">
        <f>IF(A910="","",SUMIFS('Assessment Weights'!$D:$D,'Assessment Weights'!$A:$A,A910))</f>
        <v/>
      </c>
      <c r="AH910" s="12">
        <f>IF(A910="","",IF(COUNTIF($A$2:$A$1000,A910)&gt;1,"Duplicate Job ID",IF(AND(AG910&lt;&gt;100,AG910&lt;&gt;0),"Weights must total 100",IF(Z910-Y910&lt;7,"Closing date must be 7+ days after opening","OK"))))</f>
        <v/>
      </c>
    </row>
    <row r="911">
      <c r="Y911" s="13" t="n"/>
      <c r="Z911" s="13" t="n"/>
      <c r="AF911" s="13" t="n"/>
      <c r="AG911" s="12">
        <f>IF(A911="","",SUMIFS('Assessment Weights'!$D:$D,'Assessment Weights'!$A:$A,A911))</f>
        <v/>
      </c>
      <c r="AH911" s="12">
        <f>IF(A911="","",IF(COUNTIF($A$2:$A$1000,A911)&gt;1,"Duplicate Job ID",IF(AND(AG911&lt;&gt;100,AG911&lt;&gt;0),"Weights must total 100",IF(Z911-Y911&lt;7,"Closing date must be 7+ days after opening","OK"))))</f>
        <v/>
      </c>
    </row>
    <row r="912">
      <c r="Y912" s="13" t="n"/>
      <c r="Z912" s="13" t="n"/>
      <c r="AF912" s="13" t="n"/>
      <c r="AG912" s="12">
        <f>IF(A912="","",SUMIFS('Assessment Weights'!$D:$D,'Assessment Weights'!$A:$A,A912))</f>
        <v/>
      </c>
      <c r="AH912" s="12">
        <f>IF(A912="","",IF(COUNTIF($A$2:$A$1000,A912)&gt;1,"Duplicate Job ID",IF(AND(AG912&lt;&gt;100,AG912&lt;&gt;0),"Weights must total 100",IF(Z912-Y912&lt;7,"Closing date must be 7+ days after opening","OK"))))</f>
        <v/>
      </c>
    </row>
    <row r="913">
      <c r="Y913" s="13" t="n"/>
      <c r="Z913" s="13" t="n"/>
      <c r="AF913" s="13" t="n"/>
      <c r="AG913" s="12">
        <f>IF(A913="","",SUMIFS('Assessment Weights'!$D:$D,'Assessment Weights'!$A:$A,A913))</f>
        <v/>
      </c>
      <c r="AH913" s="12">
        <f>IF(A913="","",IF(COUNTIF($A$2:$A$1000,A913)&gt;1,"Duplicate Job ID",IF(AND(AG913&lt;&gt;100,AG913&lt;&gt;0),"Weights must total 100",IF(Z913-Y913&lt;7,"Closing date must be 7+ days after opening","OK"))))</f>
        <v/>
      </c>
    </row>
    <row r="914">
      <c r="Y914" s="13" t="n"/>
      <c r="Z914" s="13" t="n"/>
      <c r="AF914" s="13" t="n"/>
      <c r="AG914" s="12">
        <f>IF(A914="","",SUMIFS('Assessment Weights'!$D:$D,'Assessment Weights'!$A:$A,A914))</f>
        <v/>
      </c>
      <c r="AH914" s="12">
        <f>IF(A914="","",IF(COUNTIF($A$2:$A$1000,A914)&gt;1,"Duplicate Job ID",IF(AND(AG914&lt;&gt;100,AG914&lt;&gt;0),"Weights must total 100",IF(Z914-Y914&lt;7,"Closing date must be 7+ days after opening","OK"))))</f>
        <v/>
      </c>
    </row>
    <row r="915">
      <c r="Y915" s="13" t="n"/>
      <c r="Z915" s="13" t="n"/>
      <c r="AF915" s="13" t="n"/>
      <c r="AG915" s="12">
        <f>IF(A915="","",SUMIFS('Assessment Weights'!$D:$D,'Assessment Weights'!$A:$A,A915))</f>
        <v/>
      </c>
      <c r="AH915" s="12">
        <f>IF(A915="","",IF(COUNTIF($A$2:$A$1000,A915)&gt;1,"Duplicate Job ID",IF(AND(AG915&lt;&gt;100,AG915&lt;&gt;0),"Weights must total 100",IF(Z915-Y915&lt;7,"Closing date must be 7+ days after opening","OK"))))</f>
        <v/>
      </c>
    </row>
    <row r="916">
      <c r="Y916" s="13" t="n"/>
      <c r="Z916" s="13" t="n"/>
      <c r="AF916" s="13" t="n"/>
      <c r="AG916" s="12">
        <f>IF(A916="","",SUMIFS('Assessment Weights'!$D:$D,'Assessment Weights'!$A:$A,A916))</f>
        <v/>
      </c>
      <c r="AH916" s="12">
        <f>IF(A916="","",IF(COUNTIF($A$2:$A$1000,A916)&gt;1,"Duplicate Job ID",IF(AND(AG916&lt;&gt;100,AG916&lt;&gt;0),"Weights must total 100",IF(Z916-Y916&lt;7,"Closing date must be 7+ days after opening","OK"))))</f>
        <v/>
      </c>
    </row>
    <row r="917">
      <c r="Y917" s="13" t="n"/>
      <c r="Z917" s="13" t="n"/>
      <c r="AF917" s="13" t="n"/>
      <c r="AG917" s="12">
        <f>IF(A917="","",SUMIFS('Assessment Weights'!$D:$D,'Assessment Weights'!$A:$A,A917))</f>
        <v/>
      </c>
      <c r="AH917" s="12">
        <f>IF(A917="","",IF(COUNTIF($A$2:$A$1000,A917)&gt;1,"Duplicate Job ID",IF(AND(AG917&lt;&gt;100,AG917&lt;&gt;0),"Weights must total 100",IF(Z917-Y917&lt;7,"Closing date must be 7+ days after opening","OK"))))</f>
        <v/>
      </c>
    </row>
    <row r="918">
      <c r="Y918" s="13" t="n"/>
      <c r="Z918" s="13" t="n"/>
      <c r="AF918" s="13" t="n"/>
      <c r="AG918" s="12">
        <f>IF(A918="","",SUMIFS('Assessment Weights'!$D:$D,'Assessment Weights'!$A:$A,A918))</f>
        <v/>
      </c>
      <c r="AH918" s="12">
        <f>IF(A918="","",IF(COUNTIF($A$2:$A$1000,A918)&gt;1,"Duplicate Job ID",IF(AND(AG918&lt;&gt;100,AG918&lt;&gt;0),"Weights must total 100",IF(Z918-Y918&lt;7,"Closing date must be 7+ days after opening","OK"))))</f>
        <v/>
      </c>
    </row>
    <row r="919">
      <c r="Y919" s="13" t="n"/>
      <c r="Z919" s="13" t="n"/>
      <c r="AF919" s="13" t="n"/>
      <c r="AG919" s="12">
        <f>IF(A919="","",SUMIFS('Assessment Weights'!$D:$D,'Assessment Weights'!$A:$A,A919))</f>
        <v/>
      </c>
      <c r="AH919" s="12">
        <f>IF(A919="","",IF(COUNTIF($A$2:$A$1000,A919)&gt;1,"Duplicate Job ID",IF(AND(AG919&lt;&gt;100,AG919&lt;&gt;0),"Weights must total 100",IF(Z919-Y919&lt;7,"Closing date must be 7+ days after opening","OK"))))</f>
        <v/>
      </c>
    </row>
    <row r="920">
      <c r="Y920" s="13" t="n"/>
      <c r="Z920" s="13" t="n"/>
      <c r="AF920" s="13" t="n"/>
      <c r="AG920" s="12">
        <f>IF(A920="","",SUMIFS('Assessment Weights'!$D:$D,'Assessment Weights'!$A:$A,A920))</f>
        <v/>
      </c>
      <c r="AH920" s="12">
        <f>IF(A920="","",IF(COUNTIF($A$2:$A$1000,A920)&gt;1,"Duplicate Job ID",IF(AND(AG920&lt;&gt;100,AG920&lt;&gt;0),"Weights must total 100",IF(Z920-Y920&lt;7,"Closing date must be 7+ days after opening","OK"))))</f>
        <v/>
      </c>
    </row>
    <row r="921">
      <c r="Y921" s="13" t="n"/>
      <c r="Z921" s="13" t="n"/>
      <c r="AF921" s="13" t="n"/>
      <c r="AG921" s="12">
        <f>IF(A921="","",SUMIFS('Assessment Weights'!$D:$D,'Assessment Weights'!$A:$A,A921))</f>
        <v/>
      </c>
      <c r="AH921" s="12">
        <f>IF(A921="","",IF(COUNTIF($A$2:$A$1000,A921)&gt;1,"Duplicate Job ID",IF(AND(AG921&lt;&gt;100,AG921&lt;&gt;0),"Weights must total 100",IF(Z921-Y921&lt;7,"Closing date must be 7+ days after opening","OK"))))</f>
        <v/>
      </c>
    </row>
    <row r="922">
      <c r="Y922" s="13" t="n"/>
      <c r="Z922" s="13" t="n"/>
      <c r="AF922" s="13" t="n"/>
      <c r="AG922" s="12">
        <f>IF(A922="","",SUMIFS('Assessment Weights'!$D:$D,'Assessment Weights'!$A:$A,A922))</f>
        <v/>
      </c>
      <c r="AH922" s="12">
        <f>IF(A922="","",IF(COUNTIF($A$2:$A$1000,A922)&gt;1,"Duplicate Job ID",IF(AND(AG922&lt;&gt;100,AG922&lt;&gt;0),"Weights must total 100",IF(Z922-Y922&lt;7,"Closing date must be 7+ days after opening","OK"))))</f>
        <v/>
      </c>
    </row>
    <row r="923">
      <c r="Y923" s="13" t="n"/>
      <c r="Z923" s="13" t="n"/>
      <c r="AF923" s="13" t="n"/>
      <c r="AG923" s="12">
        <f>IF(A923="","",SUMIFS('Assessment Weights'!$D:$D,'Assessment Weights'!$A:$A,A923))</f>
        <v/>
      </c>
      <c r="AH923" s="12">
        <f>IF(A923="","",IF(COUNTIF($A$2:$A$1000,A923)&gt;1,"Duplicate Job ID",IF(AND(AG923&lt;&gt;100,AG923&lt;&gt;0),"Weights must total 100",IF(Z923-Y923&lt;7,"Closing date must be 7+ days after opening","OK"))))</f>
        <v/>
      </c>
    </row>
    <row r="924">
      <c r="Y924" s="13" t="n"/>
      <c r="Z924" s="13" t="n"/>
      <c r="AF924" s="13" t="n"/>
      <c r="AG924" s="12">
        <f>IF(A924="","",SUMIFS('Assessment Weights'!$D:$D,'Assessment Weights'!$A:$A,A924))</f>
        <v/>
      </c>
      <c r="AH924" s="12">
        <f>IF(A924="","",IF(COUNTIF($A$2:$A$1000,A924)&gt;1,"Duplicate Job ID",IF(AND(AG924&lt;&gt;100,AG924&lt;&gt;0),"Weights must total 100",IF(Z924-Y924&lt;7,"Closing date must be 7+ days after opening","OK"))))</f>
        <v/>
      </c>
    </row>
    <row r="925">
      <c r="Y925" s="13" t="n"/>
      <c r="Z925" s="13" t="n"/>
      <c r="AF925" s="13" t="n"/>
      <c r="AG925" s="12">
        <f>IF(A925="","",SUMIFS('Assessment Weights'!$D:$D,'Assessment Weights'!$A:$A,A925))</f>
        <v/>
      </c>
      <c r="AH925" s="12">
        <f>IF(A925="","",IF(COUNTIF($A$2:$A$1000,A925)&gt;1,"Duplicate Job ID",IF(AND(AG925&lt;&gt;100,AG925&lt;&gt;0),"Weights must total 100",IF(Z925-Y925&lt;7,"Closing date must be 7+ days after opening","OK"))))</f>
        <v/>
      </c>
    </row>
    <row r="926">
      <c r="Y926" s="13" t="n"/>
      <c r="Z926" s="13" t="n"/>
      <c r="AF926" s="13" t="n"/>
      <c r="AG926" s="12">
        <f>IF(A926="","",SUMIFS('Assessment Weights'!$D:$D,'Assessment Weights'!$A:$A,A926))</f>
        <v/>
      </c>
      <c r="AH926" s="12">
        <f>IF(A926="","",IF(COUNTIF($A$2:$A$1000,A926)&gt;1,"Duplicate Job ID",IF(AND(AG926&lt;&gt;100,AG926&lt;&gt;0),"Weights must total 100",IF(Z926-Y926&lt;7,"Closing date must be 7+ days after opening","OK"))))</f>
        <v/>
      </c>
    </row>
    <row r="927">
      <c r="Y927" s="13" t="n"/>
      <c r="Z927" s="13" t="n"/>
      <c r="AF927" s="13" t="n"/>
      <c r="AG927" s="12">
        <f>IF(A927="","",SUMIFS('Assessment Weights'!$D:$D,'Assessment Weights'!$A:$A,A927))</f>
        <v/>
      </c>
      <c r="AH927" s="12">
        <f>IF(A927="","",IF(COUNTIF($A$2:$A$1000,A927)&gt;1,"Duplicate Job ID",IF(AND(AG927&lt;&gt;100,AG927&lt;&gt;0),"Weights must total 100",IF(Z927-Y927&lt;7,"Closing date must be 7+ days after opening","OK"))))</f>
        <v/>
      </c>
    </row>
    <row r="928">
      <c r="Y928" s="13" t="n"/>
      <c r="Z928" s="13" t="n"/>
      <c r="AF928" s="13" t="n"/>
      <c r="AG928" s="12">
        <f>IF(A928="","",SUMIFS('Assessment Weights'!$D:$D,'Assessment Weights'!$A:$A,A928))</f>
        <v/>
      </c>
      <c r="AH928" s="12">
        <f>IF(A928="","",IF(COUNTIF($A$2:$A$1000,A928)&gt;1,"Duplicate Job ID",IF(AND(AG928&lt;&gt;100,AG928&lt;&gt;0),"Weights must total 100",IF(Z928-Y928&lt;7,"Closing date must be 7+ days after opening","OK"))))</f>
        <v/>
      </c>
    </row>
    <row r="929">
      <c r="Y929" s="13" t="n"/>
      <c r="Z929" s="13" t="n"/>
      <c r="AF929" s="13" t="n"/>
      <c r="AG929" s="12">
        <f>IF(A929="","",SUMIFS('Assessment Weights'!$D:$D,'Assessment Weights'!$A:$A,A929))</f>
        <v/>
      </c>
      <c r="AH929" s="12">
        <f>IF(A929="","",IF(COUNTIF($A$2:$A$1000,A929)&gt;1,"Duplicate Job ID",IF(AND(AG929&lt;&gt;100,AG929&lt;&gt;0),"Weights must total 100",IF(Z929-Y929&lt;7,"Closing date must be 7+ days after opening","OK"))))</f>
        <v/>
      </c>
    </row>
    <row r="930">
      <c r="Y930" s="13" t="n"/>
      <c r="Z930" s="13" t="n"/>
      <c r="AF930" s="13" t="n"/>
      <c r="AG930" s="12">
        <f>IF(A930="","",SUMIFS('Assessment Weights'!$D:$D,'Assessment Weights'!$A:$A,A930))</f>
        <v/>
      </c>
      <c r="AH930" s="12">
        <f>IF(A930="","",IF(COUNTIF($A$2:$A$1000,A930)&gt;1,"Duplicate Job ID",IF(AND(AG930&lt;&gt;100,AG930&lt;&gt;0),"Weights must total 100",IF(Z930-Y930&lt;7,"Closing date must be 7+ days after opening","OK"))))</f>
        <v/>
      </c>
    </row>
    <row r="931">
      <c r="Y931" s="13" t="n"/>
      <c r="Z931" s="13" t="n"/>
      <c r="AF931" s="13" t="n"/>
      <c r="AG931" s="12">
        <f>IF(A931="","",SUMIFS('Assessment Weights'!$D:$D,'Assessment Weights'!$A:$A,A931))</f>
        <v/>
      </c>
      <c r="AH931" s="12">
        <f>IF(A931="","",IF(COUNTIF($A$2:$A$1000,A931)&gt;1,"Duplicate Job ID",IF(AND(AG931&lt;&gt;100,AG931&lt;&gt;0),"Weights must total 100",IF(Z931-Y931&lt;7,"Closing date must be 7+ days after opening","OK"))))</f>
        <v/>
      </c>
    </row>
    <row r="932">
      <c r="Y932" s="13" t="n"/>
      <c r="Z932" s="13" t="n"/>
      <c r="AF932" s="13" t="n"/>
      <c r="AG932" s="12">
        <f>IF(A932="","",SUMIFS('Assessment Weights'!$D:$D,'Assessment Weights'!$A:$A,A932))</f>
        <v/>
      </c>
      <c r="AH932" s="12">
        <f>IF(A932="","",IF(COUNTIF($A$2:$A$1000,A932)&gt;1,"Duplicate Job ID",IF(AND(AG932&lt;&gt;100,AG932&lt;&gt;0),"Weights must total 100",IF(Z932-Y932&lt;7,"Closing date must be 7+ days after opening","OK"))))</f>
        <v/>
      </c>
    </row>
    <row r="933">
      <c r="Y933" s="13" t="n"/>
      <c r="Z933" s="13" t="n"/>
      <c r="AF933" s="13" t="n"/>
      <c r="AG933" s="12">
        <f>IF(A933="","",SUMIFS('Assessment Weights'!$D:$D,'Assessment Weights'!$A:$A,A933))</f>
        <v/>
      </c>
      <c r="AH933" s="12">
        <f>IF(A933="","",IF(COUNTIF($A$2:$A$1000,A933)&gt;1,"Duplicate Job ID",IF(AND(AG933&lt;&gt;100,AG933&lt;&gt;0),"Weights must total 100",IF(Z933-Y933&lt;7,"Closing date must be 7+ days after opening","OK"))))</f>
        <v/>
      </c>
    </row>
    <row r="934">
      <c r="Y934" s="13" t="n"/>
      <c r="Z934" s="13" t="n"/>
      <c r="AF934" s="13" t="n"/>
      <c r="AG934" s="12">
        <f>IF(A934="","",SUMIFS('Assessment Weights'!$D:$D,'Assessment Weights'!$A:$A,A934))</f>
        <v/>
      </c>
      <c r="AH934" s="12">
        <f>IF(A934="","",IF(COUNTIF($A$2:$A$1000,A934)&gt;1,"Duplicate Job ID",IF(AND(AG934&lt;&gt;100,AG934&lt;&gt;0),"Weights must total 100",IF(Z934-Y934&lt;7,"Closing date must be 7+ days after opening","OK"))))</f>
        <v/>
      </c>
    </row>
    <row r="935">
      <c r="Y935" s="13" t="n"/>
      <c r="Z935" s="13" t="n"/>
      <c r="AF935" s="13" t="n"/>
      <c r="AG935" s="12">
        <f>IF(A935="","",SUMIFS('Assessment Weights'!$D:$D,'Assessment Weights'!$A:$A,A935))</f>
        <v/>
      </c>
      <c r="AH935" s="12">
        <f>IF(A935="","",IF(COUNTIF($A$2:$A$1000,A935)&gt;1,"Duplicate Job ID",IF(AND(AG935&lt;&gt;100,AG935&lt;&gt;0),"Weights must total 100",IF(Z935-Y935&lt;7,"Closing date must be 7+ days after opening","OK"))))</f>
        <v/>
      </c>
    </row>
    <row r="936">
      <c r="Y936" s="13" t="n"/>
      <c r="Z936" s="13" t="n"/>
      <c r="AF936" s="13" t="n"/>
      <c r="AG936" s="12">
        <f>IF(A936="","",SUMIFS('Assessment Weights'!$D:$D,'Assessment Weights'!$A:$A,A936))</f>
        <v/>
      </c>
      <c r="AH936" s="12">
        <f>IF(A936="","",IF(COUNTIF($A$2:$A$1000,A936)&gt;1,"Duplicate Job ID",IF(AND(AG936&lt;&gt;100,AG936&lt;&gt;0),"Weights must total 100",IF(Z936-Y936&lt;7,"Closing date must be 7+ days after opening","OK"))))</f>
        <v/>
      </c>
    </row>
    <row r="937">
      <c r="Y937" s="13" t="n"/>
      <c r="Z937" s="13" t="n"/>
      <c r="AF937" s="13" t="n"/>
      <c r="AG937" s="12">
        <f>IF(A937="","",SUMIFS('Assessment Weights'!$D:$D,'Assessment Weights'!$A:$A,A937))</f>
        <v/>
      </c>
      <c r="AH937" s="12">
        <f>IF(A937="","",IF(COUNTIF($A$2:$A$1000,A937)&gt;1,"Duplicate Job ID",IF(AND(AG937&lt;&gt;100,AG937&lt;&gt;0),"Weights must total 100",IF(Z937-Y937&lt;7,"Closing date must be 7+ days after opening","OK"))))</f>
        <v/>
      </c>
    </row>
    <row r="938">
      <c r="Y938" s="13" t="n"/>
      <c r="Z938" s="13" t="n"/>
      <c r="AF938" s="13" t="n"/>
      <c r="AG938" s="12">
        <f>IF(A938="","",SUMIFS('Assessment Weights'!$D:$D,'Assessment Weights'!$A:$A,A938))</f>
        <v/>
      </c>
      <c r="AH938" s="12">
        <f>IF(A938="","",IF(COUNTIF($A$2:$A$1000,A938)&gt;1,"Duplicate Job ID",IF(AND(AG938&lt;&gt;100,AG938&lt;&gt;0),"Weights must total 100",IF(Z938-Y938&lt;7,"Closing date must be 7+ days after opening","OK"))))</f>
        <v/>
      </c>
    </row>
    <row r="939">
      <c r="Y939" s="13" t="n"/>
      <c r="Z939" s="13" t="n"/>
      <c r="AF939" s="13" t="n"/>
      <c r="AG939" s="12">
        <f>IF(A939="","",SUMIFS('Assessment Weights'!$D:$D,'Assessment Weights'!$A:$A,A939))</f>
        <v/>
      </c>
      <c r="AH939" s="12">
        <f>IF(A939="","",IF(COUNTIF($A$2:$A$1000,A939)&gt;1,"Duplicate Job ID",IF(AND(AG939&lt;&gt;100,AG939&lt;&gt;0),"Weights must total 100",IF(Z939-Y939&lt;7,"Closing date must be 7+ days after opening","OK"))))</f>
        <v/>
      </c>
    </row>
    <row r="940">
      <c r="Y940" s="13" t="n"/>
      <c r="Z940" s="13" t="n"/>
      <c r="AF940" s="13" t="n"/>
      <c r="AG940" s="12">
        <f>IF(A940="","",SUMIFS('Assessment Weights'!$D:$D,'Assessment Weights'!$A:$A,A940))</f>
        <v/>
      </c>
      <c r="AH940" s="12">
        <f>IF(A940="","",IF(COUNTIF($A$2:$A$1000,A940)&gt;1,"Duplicate Job ID",IF(AND(AG940&lt;&gt;100,AG940&lt;&gt;0),"Weights must total 100",IF(Z940-Y940&lt;7,"Closing date must be 7+ days after opening","OK"))))</f>
        <v/>
      </c>
    </row>
    <row r="941">
      <c r="Y941" s="13" t="n"/>
      <c r="Z941" s="13" t="n"/>
      <c r="AF941" s="13" t="n"/>
      <c r="AG941" s="12">
        <f>IF(A941="","",SUMIFS('Assessment Weights'!$D:$D,'Assessment Weights'!$A:$A,A941))</f>
        <v/>
      </c>
      <c r="AH941" s="12">
        <f>IF(A941="","",IF(COUNTIF($A$2:$A$1000,A941)&gt;1,"Duplicate Job ID",IF(AND(AG941&lt;&gt;100,AG941&lt;&gt;0),"Weights must total 100",IF(Z941-Y941&lt;7,"Closing date must be 7+ days after opening","OK"))))</f>
        <v/>
      </c>
    </row>
    <row r="942">
      <c r="Y942" s="13" t="n"/>
      <c r="Z942" s="13" t="n"/>
      <c r="AF942" s="13" t="n"/>
      <c r="AG942" s="12">
        <f>IF(A942="","",SUMIFS('Assessment Weights'!$D:$D,'Assessment Weights'!$A:$A,A942))</f>
        <v/>
      </c>
      <c r="AH942" s="12">
        <f>IF(A942="","",IF(COUNTIF($A$2:$A$1000,A942)&gt;1,"Duplicate Job ID",IF(AND(AG942&lt;&gt;100,AG942&lt;&gt;0),"Weights must total 100",IF(Z942-Y942&lt;7,"Closing date must be 7+ days after opening","OK"))))</f>
        <v/>
      </c>
    </row>
    <row r="943">
      <c r="Y943" s="13" t="n"/>
      <c r="Z943" s="13" t="n"/>
      <c r="AF943" s="13" t="n"/>
      <c r="AG943" s="12">
        <f>IF(A943="","",SUMIFS('Assessment Weights'!$D:$D,'Assessment Weights'!$A:$A,A943))</f>
        <v/>
      </c>
      <c r="AH943" s="12">
        <f>IF(A943="","",IF(COUNTIF($A$2:$A$1000,A943)&gt;1,"Duplicate Job ID",IF(AND(AG943&lt;&gt;100,AG943&lt;&gt;0),"Weights must total 100",IF(Z943-Y943&lt;7,"Closing date must be 7+ days after opening","OK"))))</f>
        <v/>
      </c>
    </row>
    <row r="944">
      <c r="Y944" s="13" t="n"/>
      <c r="Z944" s="13" t="n"/>
      <c r="AF944" s="13" t="n"/>
      <c r="AG944" s="12">
        <f>IF(A944="","",SUMIFS('Assessment Weights'!$D:$D,'Assessment Weights'!$A:$A,A944))</f>
        <v/>
      </c>
      <c r="AH944" s="12">
        <f>IF(A944="","",IF(COUNTIF($A$2:$A$1000,A944)&gt;1,"Duplicate Job ID",IF(AND(AG944&lt;&gt;100,AG944&lt;&gt;0),"Weights must total 100",IF(Z944-Y944&lt;7,"Closing date must be 7+ days after opening","OK"))))</f>
        <v/>
      </c>
    </row>
    <row r="945">
      <c r="Y945" s="13" t="n"/>
      <c r="Z945" s="13" t="n"/>
      <c r="AF945" s="13" t="n"/>
      <c r="AG945" s="12">
        <f>IF(A945="","",SUMIFS('Assessment Weights'!$D:$D,'Assessment Weights'!$A:$A,A945))</f>
        <v/>
      </c>
      <c r="AH945" s="12">
        <f>IF(A945="","",IF(COUNTIF($A$2:$A$1000,A945)&gt;1,"Duplicate Job ID",IF(AND(AG945&lt;&gt;100,AG945&lt;&gt;0),"Weights must total 100",IF(Z945-Y945&lt;7,"Closing date must be 7+ days after opening","OK"))))</f>
        <v/>
      </c>
    </row>
    <row r="946">
      <c r="Y946" s="13" t="n"/>
      <c r="Z946" s="13" t="n"/>
      <c r="AF946" s="13" t="n"/>
      <c r="AG946" s="12">
        <f>IF(A946="","",SUMIFS('Assessment Weights'!$D:$D,'Assessment Weights'!$A:$A,A946))</f>
        <v/>
      </c>
      <c r="AH946" s="12">
        <f>IF(A946="","",IF(COUNTIF($A$2:$A$1000,A946)&gt;1,"Duplicate Job ID",IF(AND(AG946&lt;&gt;100,AG946&lt;&gt;0),"Weights must total 100",IF(Z946-Y946&lt;7,"Closing date must be 7+ days after opening","OK"))))</f>
        <v/>
      </c>
    </row>
    <row r="947">
      <c r="Y947" s="13" t="n"/>
      <c r="Z947" s="13" t="n"/>
      <c r="AF947" s="13" t="n"/>
      <c r="AG947" s="12">
        <f>IF(A947="","",SUMIFS('Assessment Weights'!$D:$D,'Assessment Weights'!$A:$A,A947))</f>
        <v/>
      </c>
      <c r="AH947" s="12">
        <f>IF(A947="","",IF(COUNTIF($A$2:$A$1000,A947)&gt;1,"Duplicate Job ID",IF(AND(AG947&lt;&gt;100,AG947&lt;&gt;0),"Weights must total 100",IF(Z947-Y947&lt;7,"Closing date must be 7+ days after opening","OK"))))</f>
        <v/>
      </c>
    </row>
    <row r="948">
      <c r="Y948" s="13" t="n"/>
      <c r="Z948" s="13" t="n"/>
      <c r="AF948" s="13" t="n"/>
      <c r="AG948" s="12">
        <f>IF(A948="","",SUMIFS('Assessment Weights'!$D:$D,'Assessment Weights'!$A:$A,A948))</f>
        <v/>
      </c>
      <c r="AH948" s="12">
        <f>IF(A948="","",IF(COUNTIF($A$2:$A$1000,A948)&gt;1,"Duplicate Job ID",IF(AND(AG948&lt;&gt;100,AG948&lt;&gt;0),"Weights must total 100",IF(Z948-Y948&lt;7,"Closing date must be 7+ days after opening","OK"))))</f>
        <v/>
      </c>
    </row>
    <row r="949">
      <c r="Y949" s="13" t="n"/>
      <c r="Z949" s="13" t="n"/>
      <c r="AF949" s="13" t="n"/>
      <c r="AG949" s="12">
        <f>IF(A949="","",SUMIFS('Assessment Weights'!$D:$D,'Assessment Weights'!$A:$A,A949))</f>
        <v/>
      </c>
      <c r="AH949" s="12">
        <f>IF(A949="","",IF(COUNTIF($A$2:$A$1000,A949)&gt;1,"Duplicate Job ID",IF(AND(AG949&lt;&gt;100,AG949&lt;&gt;0),"Weights must total 100",IF(Z949-Y949&lt;7,"Closing date must be 7+ days after opening","OK"))))</f>
        <v/>
      </c>
    </row>
    <row r="950">
      <c r="Y950" s="13" t="n"/>
      <c r="Z950" s="13" t="n"/>
      <c r="AF950" s="13" t="n"/>
      <c r="AG950" s="12">
        <f>IF(A950="","",SUMIFS('Assessment Weights'!$D:$D,'Assessment Weights'!$A:$A,A950))</f>
        <v/>
      </c>
      <c r="AH950" s="12">
        <f>IF(A950="","",IF(COUNTIF($A$2:$A$1000,A950)&gt;1,"Duplicate Job ID",IF(AND(AG950&lt;&gt;100,AG950&lt;&gt;0),"Weights must total 100",IF(Z950-Y950&lt;7,"Closing date must be 7+ days after opening","OK"))))</f>
        <v/>
      </c>
    </row>
    <row r="951">
      <c r="Y951" s="13" t="n"/>
      <c r="Z951" s="13" t="n"/>
      <c r="AF951" s="13" t="n"/>
      <c r="AG951" s="12">
        <f>IF(A951="","",SUMIFS('Assessment Weights'!$D:$D,'Assessment Weights'!$A:$A,A951))</f>
        <v/>
      </c>
      <c r="AH951" s="12">
        <f>IF(A951="","",IF(COUNTIF($A$2:$A$1000,A951)&gt;1,"Duplicate Job ID",IF(AND(AG951&lt;&gt;100,AG951&lt;&gt;0),"Weights must total 100",IF(Z951-Y951&lt;7,"Closing date must be 7+ days after opening","OK"))))</f>
        <v/>
      </c>
    </row>
    <row r="952">
      <c r="Y952" s="13" t="n"/>
      <c r="Z952" s="13" t="n"/>
      <c r="AF952" s="13" t="n"/>
      <c r="AG952" s="12">
        <f>IF(A952="","",SUMIFS('Assessment Weights'!$D:$D,'Assessment Weights'!$A:$A,A952))</f>
        <v/>
      </c>
      <c r="AH952" s="12">
        <f>IF(A952="","",IF(COUNTIF($A$2:$A$1000,A952)&gt;1,"Duplicate Job ID",IF(AND(AG952&lt;&gt;100,AG952&lt;&gt;0),"Weights must total 100",IF(Z952-Y952&lt;7,"Closing date must be 7+ days after opening","OK"))))</f>
        <v/>
      </c>
    </row>
    <row r="953">
      <c r="Y953" s="13" t="n"/>
      <c r="Z953" s="13" t="n"/>
      <c r="AF953" s="13" t="n"/>
      <c r="AG953" s="12">
        <f>IF(A953="","",SUMIFS('Assessment Weights'!$D:$D,'Assessment Weights'!$A:$A,A953))</f>
        <v/>
      </c>
      <c r="AH953" s="12">
        <f>IF(A953="","",IF(COUNTIF($A$2:$A$1000,A953)&gt;1,"Duplicate Job ID",IF(AND(AG953&lt;&gt;100,AG953&lt;&gt;0),"Weights must total 100",IF(Z953-Y953&lt;7,"Closing date must be 7+ days after opening","OK"))))</f>
        <v/>
      </c>
    </row>
    <row r="954">
      <c r="Y954" s="13" t="n"/>
      <c r="Z954" s="13" t="n"/>
      <c r="AF954" s="13" t="n"/>
      <c r="AG954" s="12">
        <f>IF(A954="","",SUMIFS('Assessment Weights'!$D:$D,'Assessment Weights'!$A:$A,A954))</f>
        <v/>
      </c>
      <c r="AH954" s="12">
        <f>IF(A954="","",IF(COUNTIF($A$2:$A$1000,A954)&gt;1,"Duplicate Job ID",IF(AND(AG954&lt;&gt;100,AG954&lt;&gt;0),"Weights must total 100",IF(Z954-Y954&lt;7,"Closing date must be 7+ days after opening","OK"))))</f>
        <v/>
      </c>
    </row>
    <row r="955">
      <c r="Y955" s="13" t="n"/>
      <c r="Z955" s="13" t="n"/>
      <c r="AF955" s="13" t="n"/>
      <c r="AG955" s="12">
        <f>IF(A955="","",SUMIFS('Assessment Weights'!$D:$D,'Assessment Weights'!$A:$A,A955))</f>
        <v/>
      </c>
      <c r="AH955" s="12">
        <f>IF(A955="","",IF(COUNTIF($A$2:$A$1000,A955)&gt;1,"Duplicate Job ID",IF(AND(AG955&lt;&gt;100,AG955&lt;&gt;0),"Weights must total 100",IF(Z955-Y955&lt;7,"Closing date must be 7+ days after opening","OK"))))</f>
        <v/>
      </c>
    </row>
    <row r="956">
      <c r="Y956" s="13" t="n"/>
      <c r="Z956" s="13" t="n"/>
      <c r="AF956" s="13" t="n"/>
      <c r="AG956" s="12">
        <f>IF(A956="","",SUMIFS('Assessment Weights'!$D:$D,'Assessment Weights'!$A:$A,A956))</f>
        <v/>
      </c>
      <c r="AH956" s="12">
        <f>IF(A956="","",IF(COUNTIF($A$2:$A$1000,A956)&gt;1,"Duplicate Job ID",IF(AND(AG956&lt;&gt;100,AG956&lt;&gt;0),"Weights must total 100",IF(Z956-Y956&lt;7,"Closing date must be 7+ days after opening","OK"))))</f>
        <v/>
      </c>
    </row>
    <row r="957">
      <c r="Y957" s="13" t="n"/>
      <c r="Z957" s="13" t="n"/>
      <c r="AF957" s="13" t="n"/>
      <c r="AG957" s="12">
        <f>IF(A957="","",SUMIFS('Assessment Weights'!$D:$D,'Assessment Weights'!$A:$A,A957))</f>
        <v/>
      </c>
      <c r="AH957" s="12">
        <f>IF(A957="","",IF(COUNTIF($A$2:$A$1000,A957)&gt;1,"Duplicate Job ID",IF(AND(AG957&lt;&gt;100,AG957&lt;&gt;0),"Weights must total 100",IF(Z957-Y957&lt;7,"Closing date must be 7+ days after opening","OK"))))</f>
        <v/>
      </c>
    </row>
    <row r="958">
      <c r="Y958" s="13" t="n"/>
      <c r="Z958" s="13" t="n"/>
      <c r="AF958" s="13" t="n"/>
      <c r="AG958" s="12">
        <f>IF(A958="","",SUMIFS('Assessment Weights'!$D:$D,'Assessment Weights'!$A:$A,A958))</f>
        <v/>
      </c>
      <c r="AH958" s="12">
        <f>IF(A958="","",IF(COUNTIF($A$2:$A$1000,A958)&gt;1,"Duplicate Job ID",IF(AND(AG958&lt;&gt;100,AG958&lt;&gt;0),"Weights must total 100",IF(Z958-Y958&lt;7,"Closing date must be 7+ days after opening","OK"))))</f>
        <v/>
      </c>
    </row>
    <row r="959">
      <c r="Y959" s="13" t="n"/>
      <c r="Z959" s="13" t="n"/>
      <c r="AF959" s="13" t="n"/>
      <c r="AG959" s="12">
        <f>IF(A959="","",SUMIFS('Assessment Weights'!$D:$D,'Assessment Weights'!$A:$A,A959))</f>
        <v/>
      </c>
      <c r="AH959" s="12">
        <f>IF(A959="","",IF(COUNTIF($A$2:$A$1000,A959)&gt;1,"Duplicate Job ID",IF(AND(AG959&lt;&gt;100,AG959&lt;&gt;0),"Weights must total 100",IF(Z959-Y959&lt;7,"Closing date must be 7+ days after opening","OK"))))</f>
        <v/>
      </c>
    </row>
    <row r="960">
      <c r="Y960" s="13" t="n"/>
      <c r="Z960" s="13" t="n"/>
      <c r="AF960" s="13" t="n"/>
      <c r="AG960" s="12">
        <f>IF(A960="","",SUMIFS('Assessment Weights'!$D:$D,'Assessment Weights'!$A:$A,A960))</f>
        <v/>
      </c>
      <c r="AH960" s="12">
        <f>IF(A960="","",IF(COUNTIF($A$2:$A$1000,A960)&gt;1,"Duplicate Job ID",IF(AND(AG960&lt;&gt;100,AG960&lt;&gt;0),"Weights must total 100",IF(Z960-Y960&lt;7,"Closing date must be 7+ days after opening","OK"))))</f>
        <v/>
      </c>
    </row>
    <row r="961">
      <c r="Y961" s="13" t="n"/>
      <c r="Z961" s="13" t="n"/>
      <c r="AF961" s="13" t="n"/>
      <c r="AG961" s="12">
        <f>IF(A961="","",SUMIFS('Assessment Weights'!$D:$D,'Assessment Weights'!$A:$A,A961))</f>
        <v/>
      </c>
      <c r="AH961" s="12">
        <f>IF(A961="","",IF(COUNTIF($A$2:$A$1000,A961)&gt;1,"Duplicate Job ID",IF(AND(AG961&lt;&gt;100,AG961&lt;&gt;0),"Weights must total 100",IF(Z961-Y961&lt;7,"Closing date must be 7+ days after opening","OK"))))</f>
        <v/>
      </c>
    </row>
    <row r="962">
      <c r="Y962" s="13" t="n"/>
      <c r="Z962" s="13" t="n"/>
      <c r="AF962" s="13" t="n"/>
      <c r="AG962" s="12">
        <f>IF(A962="","",SUMIFS('Assessment Weights'!$D:$D,'Assessment Weights'!$A:$A,A962))</f>
        <v/>
      </c>
      <c r="AH962" s="12">
        <f>IF(A962="","",IF(COUNTIF($A$2:$A$1000,A962)&gt;1,"Duplicate Job ID",IF(AND(AG962&lt;&gt;100,AG962&lt;&gt;0),"Weights must total 100",IF(Z962-Y962&lt;7,"Closing date must be 7+ days after opening","OK"))))</f>
        <v/>
      </c>
    </row>
    <row r="963">
      <c r="Y963" s="13" t="n"/>
      <c r="Z963" s="13" t="n"/>
      <c r="AF963" s="13" t="n"/>
      <c r="AG963" s="12">
        <f>IF(A963="","",SUMIFS('Assessment Weights'!$D:$D,'Assessment Weights'!$A:$A,A963))</f>
        <v/>
      </c>
      <c r="AH963" s="12">
        <f>IF(A963="","",IF(COUNTIF($A$2:$A$1000,A963)&gt;1,"Duplicate Job ID",IF(AND(AG963&lt;&gt;100,AG963&lt;&gt;0),"Weights must total 100",IF(Z963-Y963&lt;7,"Closing date must be 7+ days after opening","OK"))))</f>
        <v/>
      </c>
    </row>
    <row r="964">
      <c r="Y964" s="13" t="n"/>
      <c r="Z964" s="13" t="n"/>
      <c r="AF964" s="13" t="n"/>
      <c r="AG964" s="12">
        <f>IF(A964="","",SUMIFS('Assessment Weights'!$D:$D,'Assessment Weights'!$A:$A,A964))</f>
        <v/>
      </c>
      <c r="AH964" s="12">
        <f>IF(A964="","",IF(COUNTIF($A$2:$A$1000,A964)&gt;1,"Duplicate Job ID",IF(AND(AG964&lt;&gt;100,AG964&lt;&gt;0),"Weights must total 100",IF(Z964-Y964&lt;7,"Closing date must be 7+ days after opening","OK"))))</f>
        <v/>
      </c>
    </row>
    <row r="965">
      <c r="Y965" s="13" t="n"/>
      <c r="Z965" s="13" t="n"/>
      <c r="AF965" s="13" t="n"/>
      <c r="AG965" s="12">
        <f>IF(A965="","",SUMIFS('Assessment Weights'!$D:$D,'Assessment Weights'!$A:$A,A965))</f>
        <v/>
      </c>
      <c r="AH965" s="12">
        <f>IF(A965="","",IF(COUNTIF($A$2:$A$1000,A965)&gt;1,"Duplicate Job ID",IF(AND(AG965&lt;&gt;100,AG965&lt;&gt;0),"Weights must total 100",IF(Z965-Y965&lt;7,"Closing date must be 7+ days after opening","OK"))))</f>
        <v/>
      </c>
    </row>
    <row r="966">
      <c r="Y966" s="13" t="n"/>
      <c r="Z966" s="13" t="n"/>
      <c r="AF966" s="13" t="n"/>
      <c r="AG966" s="12">
        <f>IF(A966="","",SUMIFS('Assessment Weights'!$D:$D,'Assessment Weights'!$A:$A,A966))</f>
        <v/>
      </c>
      <c r="AH966" s="12">
        <f>IF(A966="","",IF(COUNTIF($A$2:$A$1000,A966)&gt;1,"Duplicate Job ID",IF(AND(AG966&lt;&gt;100,AG966&lt;&gt;0),"Weights must total 100",IF(Z966-Y966&lt;7,"Closing date must be 7+ days after opening","OK"))))</f>
        <v/>
      </c>
    </row>
    <row r="967">
      <c r="Y967" s="13" t="n"/>
      <c r="Z967" s="13" t="n"/>
      <c r="AF967" s="13" t="n"/>
      <c r="AG967" s="12">
        <f>IF(A967="","",SUMIFS('Assessment Weights'!$D:$D,'Assessment Weights'!$A:$A,A967))</f>
        <v/>
      </c>
      <c r="AH967" s="12">
        <f>IF(A967="","",IF(COUNTIF($A$2:$A$1000,A967)&gt;1,"Duplicate Job ID",IF(AND(AG967&lt;&gt;100,AG967&lt;&gt;0),"Weights must total 100",IF(Z967-Y967&lt;7,"Closing date must be 7+ days after opening","OK"))))</f>
        <v/>
      </c>
    </row>
    <row r="968">
      <c r="Y968" s="13" t="n"/>
      <c r="Z968" s="13" t="n"/>
      <c r="AF968" s="13" t="n"/>
      <c r="AG968" s="12">
        <f>IF(A968="","",SUMIFS('Assessment Weights'!$D:$D,'Assessment Weights'!$A:$A,A968))</f>
        <v/>
      </c>
      <c r="AH968" s="12">
        <f>IF(A968="","",IF(COUNTIF($A$2:$A$1000,A968)&gt;1,"Duplicate Job ID",IF(AND(AG968&lt;&gt;100,AG968&lt;&gt;0),"Weights must total 100",IF(Z968-Y968&lt;7,"Closing date must be 7+ days after opening","OK"))))</f>
        <v/>
      </c>
    </row>
    <row r="969">
      <c r="Y969" s="13" t="n"/>
      <c r="Z969" s="13" t="n"/>
      <c r="AF969" s="13" t="n"/>
      <c r="AG969" s="12">
        <f>IF(A969="","",SUMIFS('Assessment Weights'!$D:$D,'Assessment Weights'!$A:$A,A969))</f>
        <v/>
      </c>
      <c r="AH969" s="12">
        <f>IF(A969="","",IF(COUNTIF($A$2:$A$1000,A969)&gt;1,"Duplicate Job ID",IF(AND(AG969&lt;&gt;100,AG969&lt;&gt;0),"Weights must total 100",IF(Z969-Y969&lt;7,"Closing date must be 7+ days after opening","OK"))))</f>
        <v/>
      </c>
    </row>
    <row r="970">
      <c r="Y970" s="13" t="n"/>
      <c r="Z970" s="13" t="n"/>
      <c r="AF970" s="13" t="n"/>
      <c r="AG970" s="12">
        <f>IF(A970="","",SUMIFS('Assessment Weights'!$D:$D,'Assessment Weights'!$A:$A,A970))</f>
        <v/>
      </c>
      <c r="AH970" s="12">
        <f>IF(A970="","",IF(COUNTIF($A$2:$A$1000,A970)&gt;1,"Duplicate Job ID",IF(AND(AG970&lt;&gt;100,AG970&lt;&gt;0),"Weights must total 100",IF(Z970-Y970&lt;7,"Closing date must be 7+ days after opening","OK"))))</f>
        <v/>
      </c>
    </row>
    <row r="971">
      <c r="Y971" s="13" t="n"/>
      <c r="Z971" s="13" t="n"/>
      <c r="AF971" s="13" t="n"/>
      <c r="AG971" s="12">
        <f>IF(A971="","",SUMIFS('Assessment Weights'!$D:$D,'Assessment Weights'!$A:$A,A971))</f>
        <v/>
      </c>
      <c r="AH971" s="12">
        <f>IF(A971="","",IF(COUNTIF($A$2:$A$1000,A971)&gt;1,"Duplicate Job ID",IF(AND(AG971&lt;&gt;100,AG971&lt;&gt;0),"Weights must total 100",IF(Z971-Y971&lt;7,"Closing date must be 7+ days after opening","OK"))))</f>
        <v/>
      </c>
    </row>
    <row r="972">
      <c r="Y972" s="13" t="n"/>
      <c r="Z972" s="13" t="n"/>
      <c r="AF972" s="13" t="n"/>
      <c r="AG972" s="12">
        <f>IF(A972="","",SUMIFS('Assessment Weights'!$D:$D,'Assessment Weights'!$A:$A,A972))</f>
        <v/>
      </c>
      <c r="AH972" s="12">
        <f>IF(A972="","",IF(COUNTIF($A$2:$A$1000,A972)&gt;1,"Duplicate Job ID",IF(AND(AG972&lt;&gt;100,AG972&lt;&gt;0),"Weights must total 100",IF(Z972-Y972&lt;7,"Closing date must be 7+ days after opening","OK"))))</f>
        <v/>
      </c>
    </row>
    <row r="973">
      <c r="Y973" s="13" t="n"/>
      <c r="Z973" s="13" t="n"/>
      <c r="AF973" s="13" t="n"/>
      <c r="AG973" s="12">
        <f>IF(A973="","",SUMIFS('Assessment Weights'!$D:$D,'Assessment Weights'!$A:$A,A973))</f>
        <v/>
      </c>
      <c r="AH973" s="12">
        <f>IF(A973="","",IF(COUNTIF($A$2:$A$1000,A973)&gt;1,"Duplicate Job ID",IF(AND(AG973&lt;&gt;100,AG973&lt;&gt;0),"Weights must total 100",IF(Z973-Y973&lt;7,"Closing date must be 7+ days after opening","OK"))))</f>
        <v/>
      </c>
    </row>
    <row r="974">
      <c r="Y974" s="13" t="n"/>
      <c r="Z974" s="13" t="n"/>
      <c r="AF974" s="13" t="n"/>
      <c r="AG974" s="12">
        <f>IF(A974="","",SUMIFS('Assessment Weights'!$D:$D,'Assessment Weights'!$A:$A,A974))</f>
        <v/>
      </c>
      <c r="AH974" s="12">
        <f>IF(A974="","",IF(COUNTIF($A$2:$A$1000,A974)&gt;1,"Duplicate Job ID",IF(AND(AG974&lt;&gt;100,AG974&lt;&gt;0),"Weights must total 100",IF(Z974-Y974&lt;7,"Closing date must be 7+ days after opening","OK"))))</f>
        <v/>
      </c>
    </row>
    <row r="975">
      <c r="Y975" s="13" t="n"/>
      <c r="Z975" s="13" t="n"/>
      <c r="AF975" s="13" t="n"/>
      <c r="AG975" s="12">
        <f>IF(A975="","",SUMIFS('Assessment Weights'!$D:$D,'Assessment Weights'!$A:$A,A975))</f>
        <v/>
      </c>
      <c r="AH975" s="12">
        <f>IF(A975="","",IF(COUNTIF($A$2:$A$1000,A975)&gt;1,"Duplicate Job ID",IF(AND(AG975&lt;&gt;100,AG975&lt;&gt;0),"Weights must total 100",IF(Z975-Y975&lt;7,"Closing date must be 7+ days after opening","OK"))))</f>
        <v/>
      </c>
    </row>
    <row r="976">
      <c r="Y976" s="13" t="n"/>
      <c r="Z976" s="13" t="n"/>
      <c r="AF976" s="13" t="n"/>
      <c r="AG976" s="12">
        <f>IF(A976="","",SUMIFS('Assessment Weights'!$D:$D,'Assessment Weights'!$A:$A,A976))</f>
        <v/>
      </c>
      <c r="AH976" s="12">
        <f>IF(A976="","",IF(COUNTIF($A$2:$A$1000,A976)&gt;1,"Duplicate Job ID",IF(AND(AG976&lt;&gt;100,AG976&lt;&gt;0),"Weights must total 100",IF(Z976-Y976&lt;7,"Closing date must be 7+ days after opening","OK"))))</f>
        <v/>
      </c>
    </row>
    <row r="977">
      <c r="Y977" s="13" t="n"/>
      <c r="Z977" s="13" t="n"/>
      <c r="AF977" s="13" t="n"/>
      <c r="AG977" s="12">
        <f>IF(A977="","",SUMIFS('Assessment Weights'!$D:$D,'Assessment Weights'!$A:$A,A977))</f>
        <v/>
      </c>
      <c r="AH977" s="12">
        <f>IF(A977="","",IF(COUNTIF($A$2:$A$1000,A977)&gt;1,"Duplicate Job ID",IF(AND(AG977&lt;&gt;100,AG977&lt;&gt;0),"Weights must total 100",IF(Z977-Y977&lt;7,"Closing date must be 7+ days after opening","OK"))))</f>
        <v/>
      </c>
    </row>
    <row r="978">
      <c r="Y978" s="13" t="n"/>
      <c r="Z978" s="13" t="n"/>
      <c r="AF978" s="13" t="n"/>
      <c r="AG978" s="12">
        <f>IF(A978="","",SUMIFS('Assessment Weights'!$D:$D,'Assessment Weights'!$A:$A,A978))</f>
        <v/>
      </c>
      <c r="AH978" s="12">
        <f>IF(A978="","",IF(COUNTIF($A$2:$A$1000,A978)&gt;1,"Duplicate Job ID",IF(AND(AG978&lt;&gt;100,AG978&lt;&gt;0),"Weights must total 100",IF(Z978-Y978&lt;7,"Closing date must be 7+ days after opening","OK"))))</f>
        <v/>
      </c>
    </row>
    <row r="979">
      <c r="Y979" s="13" t="n"/>
      <c r="Z979" s="13" t="n"/>
      <c r="AF979" s="13" t="n"/>
      <c r="AG979" s="12">
        <f>IF(A979="","",SUMIFS('Assessment Weights'!$D:$D,'Assessment Weights'!$A:$A,A979))</f>
        <v/>
      </c>
      <c r="AH979" s="12">
        <f>IF(A979="","",IF(COUNTIF($A$2:$A$1000,A979)&gt;1,"Duplicate Job ID",IF(AND(AG979&lt;&gt;100,AG979&lt;&gt;0),"Weights must total 100",IF(Z979-Y979&lt;7,"Closing date must be 7+ days after opening","OK"))))</f>
        <v/>
      </c>
    </row>
    <row r="980">
      <c r="Y980" s="13" t="n"/>
      <c r="Z980" s="13" t="n"/>
      <c r="AF980" s="13" t="n"/>
      <c r="AG980" s="12">
        <f>IF(A980="","",SUMIFS('Assessment Weights'!$D:$D,'Assessment Weights'!$A:$A,A980))</f>
        <v/>
      </c>
      <c r="AH980" s="12">
        <f>IF(A980="","",IF(COUNTIF($A$2:$A$1000,A980)&gt;1,"Duplicate Job ID",IF(AND(AG980&lt;&gt;100,AG980&lt;&gt;0),"Weights must total 100",IF(Z980-Y980&lt;7,"Closing date must be 7+ days after opening","OK"))))</f>
        <v/>
      </c>
    </row>
    <row r="981">
      <c r="Y981" s="13" t="n"/>
      <c r="Z981" s="13" t="n"/>
      <c r="AF981" s="13" t="n"/>
      <c r="AG981" s="12">
        <f>IF(A981="","",SUMIFS('Assessment Weights'!$D:$D,'Assessment Weights'!$A:$A,A981))</f>
        <v/>
      </c>
      <c r="AH981" s="12">
        <f>IF(A981="","",IF(COUNTIF($A$2:$A$1000,A981)&gt;1,"Duplicate Job ID",IF(AND(AG981&lt;&gt;100,AG981&lt;&gt;0),"Weights must total 100",IF(Z981-Y981&lt;7,"Closing date must be 7+ days after opening","OK"))))</f>
        <v/>
      </c>
    </row>
    <row r="982">
      <c r="Y982" s="13" t="n"/>
      <c r="Z982" s="13" t="n"/>
      <c r="AF982" s="13" t="n"/>
      <c r="AG982" s="12">
        <f>IF(A982="","",SUMIFS('Assessment Weights'!$D:$D,'Assessment Weights'!$A:$A,A982))</f>
        <v/>
      </c>
      <c r="AH982" s="12">
        <f>IF(A982="","",IF(COUNTIF($A$2:$A$1000,A982)&gt;1,"Duplicate Job ID",IF(AND(AG982&lt;&gt;100,AG982&lt;&gt;0),"Weights must total 100",IF(Z982-Y982&lt;7,"Closing date must be 7+ days after opening","OK"))))</f>
        <v/>
      </c>
    </row>
    <row r="983">
      <c r="Y983" s="13" t="n"/>
      <c r="Z983" s="13" t="n"/>
      <c r="AF983" s="13" t="n"/>
      <c r="AG983" s="12">
        <f>IF(A983="","",SUMIFS('Assessment Weights'!$D:$D,'Assessment Weights'!$A:$A,A983))</f>
        <v/>
      </c>
      <c r="AH983" s="12">
        <f>IF(A983="","",IF(COUNTIF($A$2:$A$1000,A983)&gt;1,"Duplicate Job ID",IF(AND(AG983&lt;&gt;100,AG983&lt;&gt;0),"Weights must total 100",IF(Z983-Y983&lt;7,"Closing date must be 7+ days after opening","OK"))))</f>
        <v/>
      </c>
    </row>
    <row r="984">
      <c r="Y984" s="13" t="n"/>
      <c r="Z984" s="13" t="n"/>
      <c r="AF984" s="13" t="n"/>
      <c r="AG984" s="12">
        <f>IF(A984="","",SUMIFS('Assessment Weights'!$D:$D,'Assessment Weights'!$A:$A,A984))</f>
        <v/>
      </c>
      <c r="AH984" s="12">
        <f>IF(A984="","",IF(COUNTIF($A$2:$A$1000,A984)&gt;1,"Duplicate Job ID",IF(AND(AG984&lt;&gt;100,AG984&lt;&gt;0),"Weights must total 100",IF(Z984-Y984&lt;7,"Closing date must be 7+ days after opening","OK"))))</f>
        <v/>
      </c>
    </row>
    <row r="985">
      <c r="Y985" s="13" t="n"/>
      <c r="Z985" s="13" t="n"/>
      <c r="AF985" s="13" t="n"/>
      <c r="AG985" s="12">
        <f>IF(A985="","",SUMIFS('Assessment Weights'!$D:$D,'Assessment Weights'!$A:$A,A985))</f>
        <v/>
      </c>
      <c r="AH985" s="12">
        <f>IF(A985="","",IF(COUNTIF($A$2:$A$1000,A985)&gt;1,"Duplicate Job ID",IF(AND(AG985&lt;&gt;100,AG985&lt;&gt;0),"Weights must total 100",IF(Z985-Y985&lt;7,"Closing date must be 7+ days after opening","OK"))))</f>
        <v/>
      </c>
    </row>
    <row r="986">
      <c r="Y986" s="13" t="n"/>
      <c r="Z986" s="13" t="n"/>
      <c r="AF986" s="13" t="n"/>
      <c r="AG986" s="12">
        <f>IF(A986="","",SUMIFS('Assessment Weights'!$D:$D,'Assessment Weights'!$A:$A,A986))</f>
        <v/>
      </c>
      <c r="AH986" s="12">
        <f>IF(A986="","",IF(COUNTIF($A$2:$A$1000,A986)&gt;1,"Duplicate Job ID",IF(AND(AG986&lt;&gt;100,AG986&lt;&gt;0),"Weights must total 100",IF(Z986-Y986&lt;7,"Closing date must be 7+ days after opening","OK"))))</f>
        <v/>
      </c>
    </row>
    <row r="987">
      <c r="Y987" s="13" t="n"/>
      <c r="Z987" s="13" t="n"/>
      <c r="AF987" s="13" t="n"/>
      <c r="AG987" s="12">
        <f>IF(A987="","",SUMIFS('Assessment Weights'!$D:$D,'Assessment Weights'!$A:$A,A987))</f>
        <v/>
      </c>
      <c r="AH987" s="12">
        <f>IF(A987="","",IF(COUNTIF($A$2:$A$1000,A987)&gt;1,"Duplicate Job ID",IF(AND(AG987&lt;&gt;100,AG987&lt;&gt;0),"Weights must total 100",IF(Z987-Y987&lt;7,"Closing date must be 7+ days after opening","OK"))))</f>
        <v/>
      </c>
    </row>
    <row r="988">
      <c r="Y988" s="13" t="n"/>
      <c r="Z988" s="13" t="n"/>
      <c r="AF988" s="13" t="n"/>
      <c r="AG988" s="12">
        <f>IF(A988="","",SUMIFS('Assessment Weights'!$D:$D,'Assessment Weights'!$A:$A,A988))</f>
        <v/>
      </c>
      <c r="AH988" s="12">
        <f>IF(A988="","",IF(COUNTIF($A$2:$A$1000,A988)&gt;1,"Duplicate Job ID",IF(AND(AG988&lt;&gt;100,AG988&lt;&gt;0),"Weights must total 100",IF(Z988-Y988&lt;7,"Closing date must be 7+ days after opening","OK"))))</f>
        <v/>
      </c>
    </row>
    <row r="989">
      <c r="Y989" s="13" t="n"/>
      <c r="Z989" s="13" t="n"/>
      <c r="AF989" s="13" t="n"/>
      <c r="AG989" s="12">
        <f>IF(A989="","",SUMIFS('Assessment Weights'!$D:$D,'Assessment Weights'!$A:$A,A989))</f>
        <v/>
      </c>
      <c r="AH989" s="12">
        <f>IF(A989="","",IF(COUNTIF($A$2:$A$1000,A989)&gt;1,"Duplicate Job ID",IF(AND(AG989&lt;&gt;100,AG989&lt;&gt;0),"Weights must total 100",IF(Z989-Y989&lt;7,"Closing date must be 7+ days after opening","OK"))))</f>
        <v/>
      </c>
    </row>
    <row r="990">
      <c r="Y990" s="13" t="n"/>
      <c r="Z990" s="13" t="n"/>
      <c r="AF990" s="13" t="n"/>
      <c r="AG990" s="12">
        <f>IF(A990="","",SUMIFS('Assessment Weights'!$D:$D,'Assessment Weights'!$A:$A,A990))</f>
        <v/>
      </c>
      <c r="AH990" s="12">
        <f>IF(A990="","",IF(COUNTIF($A$2:$A$1000,A990)&gt;1,"Duplicate Job ID",IF(AND(AG990&lt;&gt;100,AG990&lt;&gt;0),"Weights must total 100",IF(Z990-Y990&lt;7,"Closing date must be 7+ days after opening","OK"))))</f>
        <v/>
      </c>
    </row>
    <row r="991">
      <c r="Y991" s="13" t="n"/>
      <c r="Z991" s="13" t="n"/>
      <c r="AF991" s="13" t="n"/>
      <c r="AG991" s="12">
        <f>IF(A991="","",SUMIFS('Assessment Weights'!$D:$D,'Assessment Weights'!$A:$A,A991))</f>
        <v/>
      </c>
      <c r="AH991" s="12">
        <f>IF(A991="","",IF(COUNTIF($A$2:$A$1000,A991)&gt;1,"Duplicate Job ID",IF(AND(AG991&lt;&gt;100,AG991&lt;&gt;0),"Weights must total 100",IF(Z991-Y991&lt;7,"Closing date must be 7+ days after opening","OK"))))</f>
        <v/>
      </c>
    </row>
    <row r="992">
      <c r="Y992" s="13" t="n"/>
      <c r="Z992" s="13" t="n"/>
      <c r="AF992" s="13" t="n"/>
      <c r="AG992" s="12">
        <f>IF(A992="","",SUMIFS('Assessment Weights'!$D:$D,'Assessment Weights'!$A:$A,A992))</f>
        <v/>
      </c>
      <c r="AH992" s="12">
        <f>IF(A992="","",IF(COUNTIF($A$2:$A$1000,A992)&gt;1,"Duplicate Job ID",IF(AND(AG992&lt;&gt;100,AG992&lt;&gt;0),"Weights must total 100",IF(Z992-Y992&lt;7,"Closing date must be 7+ days after opening","OK"))))</f>
        <v/>
      </c>
    </row>
    <row r="993">
      <c r="Y993" s="13" t="n"/>
      <c r="Z993" s="13" t="n"/>
      <c r="AF993" s="13" t="n"/>
      <c r="AG993" s="12">
        <f>IF(A993="","",SUMIFS('Assessment Weights'!$D:$D,'Assessment Weights'!$A:$A,A993))</f>
        <v/>
      </c>
      <c r="AH993" s="12">
        <f>IF(A993="","",IF(COUNTIF($A$2:$A$1000,A993)&gt;1,"Duplicate Job ID",IF(AND(AG993&lt;&gt;100,AG993&lt;&gt;0),"Weights must total 100",IF(Z993-Y993&lt;7,"Closing date must be 7+ days after opening","OK"))))</f>
        <v/>
      </c>
    </row>
    <row r="994">
      <c r="Y994" s="13" t="n"/>
      <c r="Z994" s="13" t="n"/>
      <c r="AF994" s="13" t="n"/>
      <c r="AG994" s="12">
        <f>IF(A994="","",SUMIFS('Assessment Weights'!$D:$D,'Assessment Weights'!$A:$A,A994))</f>
        <v/>
      </c>
      <c r="AH994" s="12">
        <f>IF(A994="","",IF(COUNTIF($A$2:$A$1000,A994)&gt;1,"Duplicate Job ID",IF(AND(AG994&lt;&gt;100,AG994&lt;&gt;0),"Weights must total 100",IF(Z994-Y994&lt;7,"Closing date must be 7+ days after opening","OK"))))</f>
        <v/>
      </c>
    </row>
    <row r="995">
      <c r="Y995" s="13" t="n"/>
      <c r="Z995" s="13" t="n"/>
      <c r="AF995" s="13" t="n"/>
      <c r="AG995" s="12">
        <f>IF(A995="","",SUMIFS('Assessment Weights'!$D:$D,'Assessment Weights'!$A:$A,A995))</f>
        <v/>
      </c>
      <c r="AH995" s="12">
        <f>IF(A995="","",IF(COUNTIF($A$2:$A$1000,A995)&gt;1,"Duplicate Job ID",IF(AND(AG995&lt;&gt;100,AG995&lt;&gt;0),"Weights must total 100",IF(Z995-Y995&lt;7,"Closing date must be 7+ days after opening","OK"))))</f>
        <v/>
      </c>
    </row>
    <row r="996">
      <c r="Y996" s="13" t="n"/>
      <c r="Z996" s="13" t="n"/>
      <c r="AF996" s="13" t="n"/>
      <c r="AG996" s="12">
        <f>IF(A996="","",SUMIFS('Assessment Weights'!$D:$D,'Assessment Weights'!$A:$A,A996))</f>
        <v/>
      </c>
      <c r="AH996" s="12">
        <f>IF(A996="","",IF(COUNTIF($A$2:$A$1000,A996)&gt;1,"Duplicate Job ID",IF(AND(AG996&lt;&gt;100,AG996&lt;&gt;0),"Weights must total 100",IF(Z996-Y996&lt;7,"Closing date must be 7+ days after opening","OK"))))</f>
        <v/>
      </c>
    </row>
    <row r="997">
      <c r="Y997" s="13" t="n"/>
      <c r="Z997" s="13" t="n"/>
      <c r="AF997" s="13" t="n"/>
      <c r="AG997" s="12">
        <f>IF(A997="","",SUMIFS('Assessment Weights'!$D:$D,'Assessment Weights'!$A:$A,A997))</f>
        <v/>
      </c>
      <c r="AH997" s="12">
        <f>IF(A997="","",IF(COUNTIF($A$2:$A$1000,A997)&gt;1,"Duplicate Job ID",IF(AND(AG997&lt;&gt;100,AG997&lt;&gt;0),"Weights must total 100",IF(Z997-Y997&lt;7,"Closing date must be 7+ days after opening","OK"))))</f>
        <v/>
      </c>
    </row>
    <row r="998">
      <c r="Y998" s="13" t="n"/>
      <c r="Z998" s="13" t="n"/>
      <c r="AF998" s="13" t="n"/>
      <c r="AG998" s="12">
        <f>IF(A998="","",SUMIFS('Assessment Weights'!$D:$D,'Assessment Weights'!$A:$A,A998))</f>
        <v/>
      </c>
      <c r="AH998" s="12">
        <f>IF(A998="","",IF(COUNTIF($A$2:$A$1000,A998)&gt;1,"Duplicate Job ID",IF(AND(AG998&lt;&gt;100,AG998&lt;&gt;0),"Weights must total 100",IF(Z998-Y998&lt;7,"Closing date must be 7+ days after opening","OK"))))</f>
        <v/>
      </c>
    </row>
    <row r="999">
      <c r="Y999" s="13" t="n"/>
      <c r="Z999" s="13" t="n"/>
      <c r="AF999" s="13" t="n"/>
      <c r="AG999" s="12">
        <f>IF(A999="","",SUMIFS('Assessment Weights'!$D:$D,'Assessment Weights'!$A:$A,A999))</f>
        <v/>
      </c>
      <c r="AH999" s="12">
        <f>IF(A999="","",IF(COUNTIF($A$2:$A$1000,A999)&gt;1,"Duplicate Job ID",IF(AND(AG999&lt;&gt;100,AG999&lt;&gt;0),"Weights must total 100",IF(Z999-Y999&lt;7,"Closing date must be 7+ days after opening","OK"))))</f>
        <v/>
      </c>
    </row>
    <row r="1000">
      <c r="Y1000" s="13" t="n"/>
      <c r="Z1000" s="13" t="n"/>
      <c r="AF1000" s="13" t="n"/>
      <c r="AG1000" s="12">
        <f>IF(A1000="","",SUMIFS('Assessment Weights'!$D:$D,'Assessment Weights'!$A:$A,A1000))</f>
        <v/>
      </c>
      <c r="AH1000" s="12">
        <f>IF(A1000="","",IF(COUNTIF($A$2:$A$1000,A1000)&gt;1,"Duplicate Job ID",IF(AND(AG1000&lt;&gt;100,AG1000&lt;&gt;0),"Weights must total 100",IF(Z1000-Y1000&lt;7,"Closing date must be 7+ days after opening","OK"))))</f>
        <v/>
      </c>
    </row>
  </sheetData>
  <autoFilter ref="A1:AH10"/>
  <conditionalFormatting sqref="AH2:AH1000">
    <cfRule type="expression" priority="1" dxfId="0">
      <formula>AND(AH2&lt;&gt;"",AH2&lt;&gt;"OK")</formula>
    </cfRule>
    <cfRule type="cellIs" priority="2" operator="equal" dxfId="1">
      <formula>"OK"</formula>
    </cfRule>
  </conditionalFormatting>
  <conditionalFormatting sqref="AE2:AE1000">
    <cfRule type="cellIs" priority="3" operator="equal" dxfId="2">
      <formula>"Published"</formula>
    </cfRule>
    <cfRule type="cellIs" priority="4" operator="equal" dxfId="3">
      <formula>"Pending Approval"</formula>
    </cfRule>
    <cfRule type="cellIs" priority="5" operator="equal" dxfId="4">
      <formula>"Closed"</formula>
    </cfRule>
    <cfRule type="cellIs" priority="6" operator="equal" dxfId="5">
      <formula>"Cancelled"</formula>
    </cfRule>
  </conditionalFormatting>
  <dataValidations count="22">
    <dataValidation sqref="C2:C1000" showDropDown="0" showInputMessage="0" showErrorMessage="1" allowBlank="1" errorTitle="Not in list" error="Choose a value from the Departments list (edit the Lookups tab to add one)." type="list">
      <formula1>Lookups!$A$2:$A$200</formula1>
    </dataValidation>
    <dataValidation sqref="D2:D1000" showDropDown="0" showInputMessage="0" showErrorMessage="1" allowBlank="1" errorTitle="Not in list" error="Choose a value from the Job Families list (edit the Lookups tab to add one)." type="list">
      <formula1>Lookups!$B$2:$B$200</formula1>
    </dataValidation>
    <dataValidation sqref="E2:E1000" showDropDown="0" showInputMessage="0" showErrorMessage="1" allowBlank="1" errorTitle="Not in list" error="Choose a value from the Grades list (edit the Lookups tab to add one)." type="list">
      <formula1>Lookups!$C$2:$C$200</formula1>
    </dataValidation>
    <dataValidation sqref="F2:F1000" showDropDown="0" showInputMessage="0" showErrorMessage="1" allowBlank="1" errorTitle="Not in list" error="Choose a value from the People list (edit the Lookups tab to add one)." type="list">
      <formula1>Lookups!$E$2:$E$200</formula1>
    </dataValidation>
    <dataValidation sqref="G2:G1000" showDropDown="0" showInputMessage="0" showErrorMessage="1" allowBlank="1" errorTitle="Not in list" error="Choose a value from the Recruiters list (edit the Lookups tab to add one)." type="list">
      <formula1>Lookups!$F$2:$F$200</formula1>
    </dataValidation>
    <dataValidation sqref="H2:H1000" showDropDown="0" showInputMessage="0" showErrorMessage="1" allowBlank="1" error="Enter a whole number." type="whole" operator="between">
      <formula1>0</formula1>
      <formula2>100000</formula2>
    </dataValidation>
    <dataValidation sqref="I2:I1000" showDropDown="0" showInputMessage="0" showErrorMessage="1" allowBlank="1" errorTitle="Not in list" error="Choose a value from the Job Types list (edit the Lookups tab to add one)." type="list">
      <formula1>Lookups!$G$2:$G$200</formula1>
    </dataValidation>
    <dataValidation sqref="O2:O1000" showDropDown="0" showInputMessage="0" showErrorMessage="1" allowBlank="1" error="Enter a number of years between 0 and 50." type="decimal" operator="between">
      <formula1>0</formula1>
      <formula2>50</formula2>
    </dataValidation>
    <dataValidation sqref="P2:P1000" showDropDown="0" showInputMessage="0" showErrorMessage="1" allowBlank="1" error="Enter a number of years between 0 and 50." type="decimal" operator="between">
      <formula1>0</formula1>
      <formula2>50</formula2>
    </dataValidation>
    <dataValidation sqref="R2:R1000" showDropDown="0" showInputMessage="0" showErrorMessage="1" allowBlank="1" errorTitle="Not in list" error="Choose a value from the Locations list (edit the Lookups tab to add one)." type="list">
      <formula1>Lookups!$D$2:$D$200</formula1>
    </dataValidation>
    <dataValidation sqref="S2:S1000" showDropDown="0" showInputMessage="0" showErrorMessage="1" allowBlank="1" errorTitle="Not in list" error="Choose a value from the Work Modes list (edit the Lookups tab to add one)." type="list">
      <formula1>Lookups!$H$2:$H$200</formula1>
    </dataValidation>
    <dataValidation sqref="V2:V1000" showDropDown="0" showInputMessage="0" showErrorMessage="1" allowBlank="1" error="Enter a whole number." type="whole" operator="between">
      <formula1>0</formula1>
      <formula2>100000</formula2>
    </dataValidation>
    <dataValidation sqref="W2:W1000" showDropDown="0" showInputMessage="0" showErrorMessage="1" allowBlank="1" errorTitle="Not in list" error="Choose a value from the Performance list (edit the Lookups tab to add one)." type="list">
      <formula1>Lookups!$J$2:$J$200</formula1>
    </dataValidation>
    <dataValidation sqref="X2:X1000" showDropDown="0" showInputMessage="0" showErrorMessage="1" allowBlank="1" errorTitle="Not in list" error="Choose a value from the Manager Approval list (edit the Lookups tab to add one)." type="list">
      <formula1>Lookups!$K$2:$K$200</formula1>
    </dataValidation>
    <dataValidation sqref="Y2:Y1000" showDropDown="0" showInputMessage="0" showErrorMessage="1" allowBlank="1" error="Enter a valid date." type="date" operator="greaterThan">
      <formula1>DATE(2020,1,1)</formula1>
    </dataValidation>
    <dataValidation sqref="Z2:Z1000" showDropDown="0" showInputMessage="0" showErrorMessage="1" allowBlank="1" error="Enter a valid date." type="date" operator="greaterThan">
      <formula1>DATE(2020,1,1)</formula1>
    </dataValidation>
    <dataValidation sqref="AA2:AA1000" showDropDown="0" showInputMessage="0" showErrorMessage="1" allowBlank="1" errorTitle="Not in list" error="Choose a value from the Resume Requirement list (edit the Lookups tab to add one)." type="list">
      <formula1>Lookups!$L$2:$L$200</formula1>
    </dataValidation>
    <dataValidation sqref="AB2:AB1000" showDropDown="0" showInputMessage="0" showErrorMessage="1" allowBlank="1" errorTitle="Not in list" error="Choose a value from the Assessment Profiles list (edit the Lookups tab to add one)." type="list">
      <formula1>Lookups!$M$2:$M$200</formula1>
    </dataValidation>
    <dataValidation sqref="AD2:AD1000" showDropDown="0" showInputMessage="0" showErrorMessage="1" allowBlank="1" errorTitle="Not in list" error="Choose a value from the Yes/No list (edit the Lookups tab to add one)." type="list">
      <formula1>Lookups!$O$2:$O$200</formula1>
    </dataValidation>
    <dataValidation sqref="AE2:AE1000" showDropDown="0" showInputMessage="0" showErrorMessage="1" allowBlank="1" errorTitle="Not in list" error="Choose a value from the Statuses list (edit the Lookups tab to add one)." type="list">
      <formula1>Lookups!$I$2:$I$200</formula1>
    </dataValidation>
    <dataValidation sqref="AF2:AF1000" showDropDown="0" showInputMessage="0" showErrorMessage="1" allowBlank="1" error="Enter a valid date." type="date" operator="greaterThan">
      <formula1>DATE(2020,1,1)</formula1>
    </dataValidation>
    <dataValidation sqref="AC2:AC1000" showDropDown="0" showInputMessage="0" showErrorMessage="1" allowBlank="1" error="Threshold must be a whole number from 0 to 100." type="whole" operator="between">
      <formula1>0</formula1>
      <formula2>100</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4" customWidth="1" min="3" max="3"/>
    <col width="11" customWidth="1" min="4" max="4"/>
  </cols>
  <sheetData>
    <row r="1">
      <c r="A1" s="14" t="inlineStr">
        <is>
          <t>Job ID</t>
        </is>
      </c>
      <c r="B1" s="14" t="inlineStr">
        <is>
          <t>Criterion Key</t>
        </is>
      </c>
      <c r="C1" s="14" t="inlineStr">
        <is>
          <t>Criterion Name</t>
        </is>
      </c>
      <c r="D1" s="14" t="inlineStr">
        <is>
          <t>Weight (%)</t>
        </is>
      </c>
    </row>
    <row r="2">
      <c r="A2" s="15" t="inlineStr">
        <is>
          <t>JOB-2026-1001</t>
        </is>
      </c>
      <c r="B2" s="15" t="inlineStr">
        <is>
          <t>reqSkills</t>
        </is>
      </c>
      <c r="C2" s="15" t="inlineStr">
        <is>
          <t>Required Skills Match</t>
        </is>
      </c>
      <c r="D2" s="15" t="n">
        <v>35</v>
      </c>
    </row>
    <row r="3">
      <c r="A3" s="15" t="inlineStr">
        <is>
          <t>JOB-2026-1001</t>
        </is>
      </c>
      <c r="B3" s="15" t="inlineStr">
        <is>
          <t>experience</t>
        </is>
      </c>
      <c r="C3" s="15" t="inlineStr">
        <is>
          <t>Relevant Experience</t>
        </is>
      </c>
      <c r="D3" s="15" t="n">
        <v>25</v>
      </c>
    </row>
    <row r="4">
      <c r="A4" s="15" t="inlineStr">
        <is>
          <t>JOB-2026-1001</t>
        </is>
      </c>
      <c r="B4" s="15" t="inlineStr">
        <is>
          <t>quals</t>
        </is>
      </c>
      <c r="C4" s="15" t="inlineStr">
        <is>
          <t>Qualifications &amp; Certifications</t>
        </is>
      </c>
      <c r="D4" s="15" t="n">
        <v>15</v>
      </c>
    </row>
    <row r="5">
      <c r="A5" s="15" t="inlineStr">
        <is>
          <t>JOB-2026-1001</t>
        </is>
      </c>
      <c r="B5" s="15" t="inlineStr">
        <is>
          <t>prefSkills</t>
        </is>
      </c>
      <c r="C5" s="15" t="inlineStr">
        <is>
          <t>Preferred Skills</t>
        </is>
      </c>
      <c r="D5" s="15" t="n">
        <v>15</v>
      </c>
    </row>
    <row r="6">
      <c r="A6" s="15" t="inlineStr">
        <is>
          <t>JOB-2026-1001</t>
        </is>
      </c>
      <c r="B6" s="15" t="inlineStr">
        <is>
          <t>resp</t>
        </is>
      </c>
      <c r="C6" s="15" t="inlineStr">
        <is>
          <t>Responsibilities Alignment</t>
        </is>
      </c>
      <c r="D6" s="15" t="n">
        <v>10</v>
      </c>
    </row>
    <row r="7">
      <c r="A7" s="15" t="inlineStr">
        <is>
          <t>JOB-2026-1002</t>
        </is>
      </c>
      <c r="B7" s="15" t="inlineStr">
        <is>
          <t>reqSkills</t>
        </is>
      </c>
      <c r="C7" s="15" t="inlineStr">
        <is>
          <t>Required Skills Match</t>
        </is>
      </c>
      <c r="D7" s="15" t="n">
        <v>35</v>
      </c>
    </row>
    <row r="8">
      <c r="A8" s="15" t="inlineStr">
        <is>
          <t>JOB-2026-1002</t>
        </is>
      </c>
      <c r="B8" s="15" t="inlineStr">
        <is>
          <t>experience</t>
        </is>
      </c>
      <c r="C8" s="15" t="inlineStr">
        <is>
          <t>Relevant Experience</t>
        </is>
      </c>
      <c r="D8" s="15" t="n">
        <v>25</v>
      </c>
    </row>
    <row r="9">
      <c r="A9" s="15" t="inlineStr">
        <is>
          <t>JOB-2026-1002</t>
        </is>
      </c>
      <c r="B9" s="15" t="inlineStr">
        <is>
          <t>quals</t>
        </is>
      </c>
      <c r="C9" s="15" t="inlineStr">
        <is>
          <t>Qualifications &amp; Certifications</t>
        </is>
      </c>
      <c r="D9" s="15" t="n">
        <v>15</v>
      </c>
    </row>
    <row r="10">
      <c r="A10" s="15" t="inlineStr">
        <is>
          <t>JOB-2026-1002</t>
        </is>
      </c>
      <c r="B10" s="15" t="inlineStr">
        <is>
          <t>prefSkills</t>
        </is>
      </c>
      <c r="C10" s="15" t="inlineStr">
        <is>
          <t>Preferred Skills</t>
        </is>
      </c>
      <c r="D10" s="15" t="n">
        <v>15</v>
      </c>
    </row>
    <row r="11">
      <c r="A11" s="15" t="inlineStr">
        <is>
          <t>JOB-2026-1002</t>
        </is>
      </c>
      <c r="B11" s="15" t="inlineStr">
        <is>
          <t>resp</t>
        </is>
      </c>
      <c r="C11" s="15" t="inlineStr">
        <is>
          <t>Responsibilities Alignment</t>
        </is>
      </c>
      <c r="D11" s="15" t="n">
        <v>10</v>
      </c>
    </row>
    <row r="12">
      <c r="A12" s="15" t="inlineStr">
        <is>
          <t>JOB-2026-1003</t>
        </is>
      </c>
      <c r="B12" s="15" t="inlineStr">
        <is>
          <t>leadership</t>
        </is>
      </c>
      <c r="C12" s="15" t="inlineStr">
        <is>
          <t>People Leadership Experience</t>
        </is>
      </c>
      <c r="D12" s="15" t="n">
        <v>30</v>
      </c>
    </row>
    <row r="13">
      <c r="A13" s="15" t="inlineStr">
        <is>
          <t>JOB-2026-1003</t>
        </is>
      </c>
      <c r="B13" s="15" t="inlineStr">
        <is>
          <t>domain</t>
        </is>
      </c>
      <c r="C13" s="15" t="inlineStr">
        <is>
          <t>Domain / Technical Depth</t>
        </is>
      </c>
      <c r="D13" s="15" t="n">
        <v>25</v>
      </c>
    </row>
    <row r="14">
      <c r="A14" s="15" t="inlineStr">
        <is>
          <t>JOB-2026-1003</t>
        </is>
      </c>
      <c r="B14" s="15" t="inlineStr">
        <is>
          <t>stakeholder</t>
        </is>
      </c>
      <c r="C14" s="15" t="inlineStr">
        <is>
          <t>Stakeholder Management</t>
        </is>
      </c>
      <c r="D14" s="15" t="n">
        <v>20</v>
      </c>
    </row>
    <row r="15">
      <c r="A15" s="15" t="inlineStr">
        <is>
          <t>JOB-2026-1003</t>
        </is>
      </c>
      <c r="B15" s="15" t="inlineStr">
        <is>
          <t>reqSkills</t>
        </is>
      </c>
      <c r="C15" s="15" t="inlineStr">
        <is>
          <t>Required Skills Match</t>
        </is>
      </c>
      <c r="D15" s="15" t="n">
        <v>15</v>
      </c>
    </row>
    <row r="16">
      <c r="A16" s="15" t="inlineStr">
        <is>
          <t>JOB-2026-1003</t>
        </is>
      </c>
      <c r="B16" s="15" t="inlineStr">
        <is>
          <t>quals</t>
        </is>
      </c>
      <c r="C16" s="15" t="inlineStr">
        <is>
          <t>Qualifications &amp; Certifications</t>
        </is>
      </c>
      <c r="D16" s="15" t="n">
        <v>10</v>
      </c>
    </row>
    <row r="17">
      <c r="A17" s="15" t="inlineStr">
        <is>
          <t>JOB-2026-1004</t>
        </is>
      </c>
      <c r="B17" s="15" t="inlineStr">
        <is>
          <t>reqSkills</t>
        </is>
      </c>
      <c r="C17" s="15" t="inlineStr">
        <is>
          <t>Required Skills Match</t>
        </is>
      </c>
      <c r="D17" s="15" t="n">
        <v>35</v>
      </c>
    </row>
    <row r="18">
      <c r="A18" s="15" t="inlineStr">
        <is>
          <t>JOB-2026-1004</t>
        </is>
      </c>
      <c r="B18" s="15" t="inlineStr">
        <is>
          <t>experience</t>
        </is>
      </c>
      <c r="C18" s="15" t="inlineStr">
        <is>
          <t>Relevant Experience</t>
        </is>
      </c>
      <c r="D18" s="15" t="n">
        <v>25</v>
      </c>
    </row>
    <row r="19">
      <c r="A19" s="15" t="inlineStr">
        <is>
          <t>JOB-2026-1004</t>
        </is>
      </c>
      <c r="B19" s="15" t="inlineStr">
        <is>
          <t>quals</t>
        </is>
      </c>
      <c r="C19" s="15" t="inlineStr">
        <is>
          <t>Qualifications &amp; Certifications</t>
        </is>
      </c>
      <c r="D19" s="15" t="n">
        <v>15</v>
      </c>
    </row>
    <row r="20">
      <c r="A20" s="15" t="inlineStr">
        <is>
          <t>JOB-2026-1004</t>
        </is>
      </c>
      <c r="B20" s="15" t="inlineStr">
        <is>
          <t>prefSkills</t>
        </is>
      </c>
      <c r="C20" s="15" t="inlineStr">
        <is>
          <t>Preferred Skills</t>
        </is>
      </c>
      <c r="D20" s="15" t="n">
        <v>15</v>
      </c>
    </row>
    <row r="21">
      <c r="A21" s="15" t="inlineStr">
        <is>
          <t>JOB-2026-1004</t>
        </is>
      </c>
      <c r="B21" s="15" t="inlineStr">
        <is>
          <t>resp</t>
        </is>
      </c>
      <c r="C21" s="15" t="inlineStr">
        <is>
          <t>Responsibilities Alignment</t>
        </is>
      </c>
      <c r="D21" s="15" t="n">
        <v>10</v>
      </c>
    </row>
    <row r="22">
      <c r="A22" s="15" t="inlineStr">
        <is>
          <t>JOB-2026-1005</t>
        </is>
      </c>
      <c r="B22" s="15" t="inlineStr">
        <is>
          <t>reqSkills</t>
        </is>
      </c>
      <c r="C22" s="15" t="inlineStr">
        <is>
          <t>Required Skills Match</t>
        </is>
      </c>
      <c r="D22" s="15" t="n">
        <v>30</v>
      </c>
    </row>
    <row r="23">
      <c r="A23" s="15" t="inlineStr">
        <is>
          <t>JOB-2026-1005</t>
        </is>
      </c>
      <c r="B23" s="15" t="inlineStr">
        <is>
          <t>experience</t>
        </is>
      </c>
      <c r="C23" s="15" t="inlineStr">
        <is>
          <t>Relevant Experience</t>
        </is>
      </c>
      <c r="D23" s="15" t="n">
        <v>30</v>
      </c>
    </row>
    <row r="24">
      <c r="A24" s="15" t="inlineStr">
        <is>
          <t>JOB-2026-1005</t>
        </is>
      </c>
      <c r="B24" s="15" t="inlineStr">
        <is>
          <t>quals</t>
        </is>
      </c>
      <c r="C24" s="15" t="inlineStr">
        <is>
          <t>Qualifications &amp; Certifications</t>
        </is>
      </c>
      <c r="D24" s="15" t="n">
        <v>20</v>
      </c>
    </row>
    <row r="25">
      <c r="A25" s="15" t="inlineStr">
        <is>
          <t>JOB-2026-1005</t>
        </is>
      </c>
      <c r="B25" s="15" t="inlineStr">
        <is>
          <t>prefSkills</t>
        </is>
      </c>
      <c r="C25" s="15" t="inlineStr">
        <is>
          <t>Preferred Skills</t>
        </is>
      </c>
      <c r="D25" s="15" t="n">
        <v>20</v>
      </c>
    </row>
    <row r="26">
      <c r="A26" s="15" t="inlineStr">
        <is>
          <t>JOB-2026-1006</t>
        </is>
      </c>
      <c r="B26" s="15" t="inlineStr">
        <is>
          <t>reqSkills</t>
        </is>
      </c>
      <c r="C26" s="15" t="inlineStr">
        <is>
          <t>Required Skills Match</t>
        </is>
      </c>
      <c r="D26" s="15" t="n">
        <v>30</v>
      </c>
    </row>
    <row r="27">
      <c r="A27" s="15" t="inlineStr">
        <is>
          <t>JOB-2026-1006</t>
        </is>
      </c>
      <c r="B27" s="15" t="inlineStr">
        <is>
          <t>experience</t>
        </is>
      </c>
      <c r="C27" s="15" t="inlineStr">
        <is>
          <t>Relevant Experience</t>
        </is>
      </c>
      <c r="D27" s="15" t="n">
        <v>30</v>
      </c>
    </row>
    <row r="28">
      <c r="A28" s="15" t="inlineStr">
        <is>
          <t>JOB-2026-1006</t>
        </is>
      </c>
      <c r="B28" s="15" t="inlineStr">
        <is>
          <t>quals</t>
        </is>
      </c>
      <c r="C28" s="15" t="inlineStr">
        <is>
          <t>Qualifications &amp; Certifications</t>
        </is>
      </c>
      <c r="D28" s="15" t="n">
        <v>20</v>
      </c>
    </row>
    <row r="29">
      <c r="A29" s="15" t="inlineStr">
        <is>
          <t>JOB-2026-1006</t>
        </is>
      </c>
      <c r="B29" s="15" t="inlineStr">
        <is>
          <t>prefSkills</t>
        </is>
      </c>
      <c r="C29" s="15" t="inlineStr">
        <is>
          <t>Preferred Skills</t>
        </is>
      </c>
      <c r="D29" s="15" t="n">
        <v>20</v>
      </c>
    </row>
    <row r="30">
      <c r="A30" s="15" t="inlineStr">
        <is>
          <t>JOB-2026-1007</t>
        </is>
      </c>
      <c r="B30" s="15" t="inlineStr">
        <is>
          <t>reqSkills</t>
        </is>
      </c>
      <c r="C30" s="15" t="inlineStr">
        <is>
          <t>Required Skills Match</t>
        </is>
      </c>
      <c r="D30" s="15" t="n">
        <v>30</v>
      </c>
    </row>
    <row r="31">
      <c r="A31" s="15" t="inlineStr">
        <is>
          <t>JOB-2026-1007</t>
        </is>
      </c>
      <c r="B31" s="15" t="inlineStr">
        <is>
          <t>experience</t>
        </is>
      </c>
      <c r="C31" s="15" t="inlineStr">
        <is>
          <t>Relevant Experience</t>
        </is>
      </c>
      <c r="D31" s="15" t="n">
        <v>30</v>
      </c>
    </row>
    <row r="32">
      <c r="A32" s="15" t="inlineStr">
        <is>
          <t>JOB-2026-1007</t>
        </is>
      </c>
      <c r="B32" s="15" t="inlineStr">
        <is>
          <t>quals</t>
        </is>
      </c>
      <c r="C32" s="15" t="inlineStr">
        <is>
          <t>Qualifications &amp; Certifications</t>
        </is>
      </c>
      <c r="D32" s="15" t="n">
        <v>20</v>
      </c>
    </row>
    <row r="33">
      <c r="A33" s="15" t="inlineStr">
        <is>
          <t>JOB-2026-1007</t>
        </is>
      </c>
      <c r="B33" s="15" t="inlineStr">
        <is>
          <t>prefSkills</t>
        </is>
      </c>
      <c r="C33" s="15" t="inlineStr">
        <is>
          <t>Preferred Skills</t>
        </is>
      </c>
      <c r="D33" s="15" t="n">
        <v>20</v>
      </c>
    </row>
    <row r="34">
      <c r="A34" s="15" t="inlineStr">
        <is>
          <t>JOB-2026-0994</t>
        </is>
      </c>
      <c r="B34" s="15" t="inlineStr">
        <is>
          <t>reqSkills</t>
        </is>
      </c>
      <c r="C34" s="15" t="inlineStr">
        <is>
          <t>Required Skills Match</t>
        </is>
      </c>
      <c r="D34" s="15" t="n">
        <v>35</v>
      </c>
    </row>
    <row r="35">
      <c r="A35" s="15" t="inlineStr">
        <is>
          <t>JOB-2026-0994</t>
        </is>
      </c>
      <c r="B35" s="15" t="inlineStr">
        <is>
          <t>experience</t>
        </is>
      </c>
      <c r="C35" s="15" t="inlineStr">
        <is>
          <t>Relevant Experience</t>
        </is>
      </c>
      <c r="D35" s="15" t="n">
        <v>25</v>
      </c>
    </row>
    <row r="36">
      <c r="A36" s="15" t="inlineStr">
        <is>
          <t>JOB-2026-0994</t>
        </is>
      </c>
      <c r="B36" s="15" t="inlineStr">
        <is>
          <t>quals</t>
        </is>
      </c>
      <c r="C36" s="15" t="inlineStr">
        <is>
          <t>Qualifications &amp; Certifications</t>
        </is>
      </c>
      <c r="D36" s="15" t="n">
        <v>15</v>
      </c>
    </row>
    <row r="37">
      <c r="A37" s="15" t="inlineStr">
        <is>
          <t>JOB-2026-0994</t>
        </is>
      </c>
      <c r="B37" s="15" t="inlineStr">
        <is>
          <t>prefSkills</t>
        </is>
      </c>
      <c r="C37" s="15" t="inlineStr">
        <is>
          <t>Preferred Skills</t>
        </is>
      </c>
      <c r="D37" s="15" t="n">
        <v>15</v>
      </c>
    </row>
    <row r="38">
      <c r="A38" s="15" t="inlineStr">
        <is>
          <t>JOB-2026-0994</t>
        </is>
      </c>
      <c r="B38" s="15" t="inlineStr">
        <is>
          <t>resp</t>
        </is>
      </c>
      <c r="C38" s="15" t="inlineStr">
        <is>
          <t>Responsibilities Alignment</t>
        </is>
      </c>
      <c r="D38" s="15" t="n">
        <v>10</v>
      </c>
    </row>
    <row r="39">
      <c r="A39" s="15" t="inlineStr">
        <is>
          <t>JOB-2026-0990</t>
        </is>
      </c>
      <c r="B39" s="15" t="inlineStr">
        <is>
          <t>reqSkills</t>
        </is>
      </c>
      <c r="C39" s="15" t="inlineStr">
        <is>
          <t>Required Skills Match</t>
        </is>
      </c>
      <c r="D39" s="15" t="n">
        <v>30</v>
      </c>
    </row>
    <row r="40">
      <c r="A40" s="15" t="inlineStr">
        <is>
          <t>JOB-2026-0990</t>
        </is>
      </c>
      <c r="B40" s="15" t="inlineStr">
        <is>
          <t>experience</t>
        </is>
      </c>
      <c r="C40" s="15" t="inlineStr">
        <is>
          <t>Relevant Experience</t>
        </is>
      </c>
      <c r="D40" s="15" t="n">
        <v>30</v>
      </c>
    </row>
    <row r="41">
      <c r="A41" s="15" t="inlineStr">
        <is>
          <t>JOB-2026-0990</t>
        </is>
      </c>
      <c r="B41" s="15" t="inlineStr">
        <is>
          <t>quals</t>
        </is>
      </c>
      <c r="C41" s="15" t="inlineStr">
        <is>
          <t>Qualifications &amp; Certifications</t>
        </is>
      </c>
      <c r="D41" s="15" t="n">
        <v>20</v>
      </c>
    </row>
    <row r="42">
      <c r="A42" s="15" t="inlineStr">
        <is>
          <t>JOB-2026-0990</t>
        </is>
      </c>
      <c r="B42" s="15" t="inlineStr">
        <is>
          <t>prefSkills</t>
        </is>
      </c>
      <c r="C42" s="15" t="inlineStr">
        <is>
          <t>Preferred Skills</t>
        </is>
      </c>
      <c r="D42" s="15" t="n">
        <v>20</v>
      </c>
    </row>
  </sheetData>
  <autoFilter ref="A1:D42"/>
  <dataValidations count="2">
    <dataValidation sqref="B2:B1000" showDropDown="0" showInputMessage="0" showErrorMessage="1" allowBlank="1" errorTitle="Not in list" error="Choose a value from the Criterion Keys list (edit the Lookups tab to add one)." type="list">
      <formula1>Lookups!$N$2:$N$200</formula1>
    </dataValidation>
    <dataValidation sqref="D2:D1000" showDropDown="0" showInputMessage="0" showErrorMessage="1" allowBlank="1" error="Weight must be a whole number from 0 to 100." type="whole"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6" customWidth="1" min="3" max="3"/>
    <col width="34" customWidth="1" min="4" max="4"/>
    <col width="13" customWidth="1" min="5" max="5"/>
  </cols>
  <sheetData>
    <row r="1">
      <c r="A1" s="14" t="inlineStr">
        <is>
          <t>Profile ID</t>
        </is>
      </c>
      <c r="B1" s="14" t="inlineStr">
        <is>
          <t>Profile Name</t>
        </is>
      </c>
      <c r="C1" s="14" t="inlineStr">
        <is>
          <t>Criterion Key</t>
        </is>
      </c>
      <c r="D1" s="14" t="inlineStr">
        <is>
          <t>Criterion Name</t>
        </is>
      </c>
      <c r="E1" s="14" t="inlineStr">
        <is>
          <t>Default Weight (%)</t>
        </is>
      </c>
    </row>
    <row r="2">
      <c r="A2" s="15" t="inlineStr">
        <is>
          <t>AP-TECH</t>
        </is>
      </c>
      <c r="B2" s="15" t="inlineStr">
        <is>
          <t>Technical Role – Standard</t>
        </is>
      </c>
      <c r="C2" s="15" t="inlineStr">
        <is>
          <t>reqSkills</t>
        </is>
      </c>
      <c r="D2" s="15" t="inlineStr">
        <is>
          <t>Required Skills Match</t>
        </is>
      </c>
      <c r="E2" s="15" t="n">
        <v>35</v>
      </c>
    </row>
    <row r="3">
      <c r="A3" s="15" t="inlineStr">
        <is>
          <t>AP-TECH</t>
        </is>
      </c>
      <c r="B3" s="15" t="inlineStr">
        <is>
          <t>Technical Role – Standard</t>
        </is>
      </c>
      <c r="C3" s="15" t="inlineStr">
        <is>
          <t>experience</t>
        </is>
      </c>
      <c r="D3" s="15" t="inlineStr">
        <is>
          <t>Relevant Experience</t>
        </is>
      </c>
      <c r="E3" s="15" t="n">
        <v>25</v>
      </c>
    </row>
    <row r="4">
      <c r="A4" s="15" t="inlineStr">
        <is>
          <t>AP-TECH</t>
        </is>
      </c>
      <c r="B4" s="15" t="inlineStr">
        <is>
          <t>Technical Role – Standard</t>
        </is>
      </c>
      <c r="C4" s="15" t="inlineStr">
        <is>
          <t>quals</t>
        </is>
      </c>
      <c r="D4" s="15" t="inlineStr">
        <is>
          <t>Qualifications &amp; Certifications</t>
        </is>
      </c>
      <c r="E4" s="15" t="n">
        <v>15</v>
      </c>
    </row>
    <row r="5">
      <c r="A5" s="15" t="inlineStr">
        <is>
          <t>AP-TECH</t>
        </is>
      </c>
      <c r="B5" s="15" t="inlineStr">
        <is>
          <t>Technical Role – Standard</t>
        </is>
      </c>
      <c r="C5" s="15" t="inlineStr">
        <is>
          <t>prefSkills</t>
        </is>
      </c>
      <c r="D5" s="15" t="inlineStr">
        <is>
          <t>Preferred Skills</t>
        </is>
      </c>
      <c r="E5" s="15" t="n">
        <v>15</v>
      </c>
    </row>
    <row r="6">
      <c r="A6" s="15" t="inlineStr">
        <is>
          <t>AP-TECH</t>
        </is>
      </c>
      <c r="B6" s="15" t="inlineStr">
        <is>
          <t>Technical Role – Standard</t>
        </is>
      </c>
      <c r="C6" s="15" t="inlineStr">
        <is>
          <t>resp</t>
        </is>
      </c>
      <c r="D6" s="15" t="inlineStr">
        <is>
          <t>Responsibilities Alignment</t>
        </is>
      </c>
      <c r="E6" s="15" t="n">
        <v>10</v>
      </c>
    </row>
    <row r="7">
      <c r="A7" s="15" t="inlineStr">
        <is>
          <t>AP-MGMT</t>
        </is>
      </c>
      <c r="B7" s="15" t="inlineStr">
        <is>
          <t>People Leadership</t>
        </is>
      </c>
      <c r="C7" s="15" t="inlineStr">
        <is>
          <t>leadership</t>
        </is>
      </c>
      <c r="D7" s="15" t="inlineStr">
        <is>
          <t>People Leadership Experience</t>
        </is>
      </c>
      <c r="E7" s="15" t="n">
        <v>30</v>
      </c>
    </row>
    <row r="8">
      <c r="A8" s="15" t="inlineStr">
        <is>
          <t>AP-MGMT</t>
        </is>
      </c>
      <c r="B8" s="15" t="inlineStr">
        <is>
          <t>People Leadership</t>
        </is>
      </c>
      <c r="C8" s="15" t="inlineStr">
        <is>
          <t>domain</t>
        </is>
      </c>
      <c r="D8" s="15" t="inlineStr">
        <is>
          <t>Domain / Technical Depth</t>
        </is>
      </c>
      <c r="E8" s="15" t="n">
        <v>25</v>
      </c>
    </row>
    <row r="9">
      <c r="A9" s="15" t="inlineStr">
        <is>
          <t>AP-MGMT</t>
        </is>
      </c>
      <c r="B9" s="15" t="inlineStr">
        <is>
          <t>People Leadership</t>
        </is>
      </c>
      <c r="C9" s="15" t="inlineStr">
        <is>
          <t>stakeholder</t>
        </is>
      </c>
      <c r="D9" s="15" t="inlineStr">
        <is>
          <t>Stakeholder Management</t>
        </is>
      </c>
      <c r="E9" s="15" t="n">
        <v>20</v>
      </c>
    </row>
    <row r="10">
      <c r="A10" s="15" t="inlineStr">
        <is>
          <t>AP-MGMT</t>
        </is>
      </c>
      <c r="B10" s="15" t="inlineStr">
        <is>
          <t>People Leadership</t>
        </is>
      </c>
      <c r="C10" s="15" t="inlineStr">
        <is>
          <t>reqSkills</t>
        </is>
      </c>
      <c r="D10" s="15" t="inlineStr">
        <is>
          <t>Required Skills Match</t>
        </is>
      </c>
      <c r="E10" s="15" t="n">
        <v>15</v>
      </c>
    </row>
    <row r="11">
      <c r="A11" s="15" t="inlineStr">
        <is>
          <t>AP-MGMT</t>
        </is>
      </c>
      <c r="B11" s="15" t="inlineStr">
        <is>
          <t>People Leadership</t>
        </is>
      </c>
      <c r="C11" s="15" t="inlineStr">
        <is>
          <t>quals</t>
        </is>
      </c>
      <c r="D11" s="15" t="inlineStr">
        <is>
          <t>Qualifications &amp; Certifications</t>
        </is>
      </c>
      <c r="E11" s="15" t="n">
        <v>10</v>
      </c>
    </row>
    <row r="12">
      <c r="A12" s="15" t="inlineStr">
        <is>
          <t>AP-GEN</t>
        </is>
      </c>
      <c r="B12" s="15" t="inlineStr">
        <is>
          <t>General Professional</t>
        </is>
      </c>
      <c r="C12" s="15" t="inlineStr">
        <is>
          <t>reqSkills</t>
        </is>
      </c>
      <c r="D12" s="15" t="inlineStr">
        <is>
          <t>Required Skills Match</t>
        </is>
      </c>
      <c r="E12" s="15" t="n">
        <v>30</v>
      </c>
    </row>
    <row r="13">
      <c r="A13" s="15" t="inlineStr">
        <is>
          <t>AP-GEN</t>
        </is>
      </c>
      <c r="B13" s="15" t="inlineStr">
        <is>
          <t>General Professional</t>
        </is>
      </c>
      <c r="C13" s="15" t="inlineStr">
        <is>
          <t>experience</t>
        </is>
      </c>
      <c r="D13" s="15" t="inlineStr">
        <is>
          <t>Relevant Experience</t>
        </is>
      </c>
      <c r="E13" s="15" t="n">
        <v>30</v>
      </c>
    </row>
    <row r="14">
      <c r="A14" s="15" t="inlineStr">
        <is>
          <t>AP-GEN</t>
        </is>
      </c>
      <c r="B14" s="15" t="inlineStr">
        <is>
          <t>General Professional</t>
        </is>
      </c>
      <c r="C14" s="15" t="inlineStr">
        <is>
          <t>quals</t>
        </is>
      </c>
      <c r="D14" s="15" t="inlineStr">
        <is>
          <t>Qualifications &amp; Certifications</t>
        </is>
      </c>
      <c r="E14" s="15" t="n">
        <v>20</v>
      </c>
    </row>
    <row r="15">
      <c r="A15" s="15" t="inlineStr">
        <is>
          <t>AP-GEN</t>
        </is>
      </c>
      <c r="B15" s="15" t="inlineStr">
        <is>
          <t>General Professional</t>
        </is>
      </c>
      <c r="C15" s="15" t="inlineStr">
        <is>
          <t>prefSkills</t>
        </is>
      </c>
      <c r="D15" s="15" t="inlineStr">
        <is>
          <t>Preferred Skills</t>
        </is>
      </c>
      <c r="E15" s="15"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21" customWidth="1" min="1" max="1"/>
    <col width="29" customWidth="1" min="2" max="2"/>
    <col width="14" customWidth="1" min="3" max="3"/>
    <col width="14" customWidth="1" min="4" max="4"/>
    <col width="16" customWidth="1" min="5" max="5"/>
    <col width="16" customWidth="1" min="6" max="6"/>
    <col width="22" customWidth="1" min="7" max="7"/>
    <col width="14" customWidth="1" min="8" max="8"/>
    <col width="19" customWidth="1" min="9" max="9"/>
    <col width="32" customWidth="1" min="10" max="10"/>
    <col width="31" customWidth="1" min="11" max="11"/>
    <col width="14" customWidth="1" min="12" max="12"/>
    <col width="14" customWidth="1" min="13" max="13"/>
    <col width="14" customWidth="1" min="14" max="14"/>
    <col width="14" customWidth="1" min="15" max="15"/>
  </cols>
  <sheetData>
    <row r="1">
      <c r="A1" s="14" t="inlineStr">
        <is>
          <t>Departments</t>
        </is>
      </c>
      <c r="B1" s="14" t="inlineStr">
        <is>
          <t>Job Families</t>
        </is>
      </c>
      <c r="C1" s="14" t="inlineStr">
        <is>
          <t>Grades</t>
        </is>
      </c>
      <c r="D1" s="14" t="inlineStr">
        <is>
          <t>Locations</t>
        </is>
      </c>
      <c r="E1" s="14" t="inlineStr">
        <is>
          <t>People</t>
        </is>
      </c>
      <c r="F1" s="14" t="inlineStr">
        <is>
          <t>Recruiters</t>
        </is>
      </c>
      <c r="G1" s="14" t="inlineStr">
        <is>
          <t>Job Types</t>
        </is>
      </c>
      <c r="H1" s="14" t="inlineStr">
        <is>
          <t>Work Modes</t>
        </is>
      </c>
      <c r="I1" s="14" t="inlineStr">
        <is>
          <t>Statuses</t>
        </is>
      </c>
      <c r="J1" s="14" t="inlineStr">
        <is>
          <t>Performance</t>
        </is>
      </c>
      <c r="K1" s="14" t="inlineStr">
        <is>
          <t>Manager Approval</t>
        </is>
      </c>
      <c r="L1" s="14" t="inlineStr">
        <is>
          <t>Resume Requirement</t>
        </is>
      </c>
      <c r="M1" s="14" t="inlineStr">
        <is>
          <t>Assessment Profiles</t>
        </is>
      </c>
      <c r="N1" s="14" t="inlineStr">
        <is>
          <t>Criterion Keys</t>
        </is>
      </c>
      <c r="O1" s="14" t="inlineStr">
        <is>
          <t>Yes/No</t>
        </is>
      </c>
    </row>
    <row r="2">
      <c r="A2" s="6" t="inlineStr">
        <is>
          <t>Engineering</t>
        </is>
      </c>
      <c r="B2" s="6" t="inlineStr">
        <is>
          <t>Software Engineering</t>
        </is>
      </c>
      <c r="C2" s="6" t="inlineStr">
        <is>
          <t>G4</t>
        </is>
      </c>
      <c r="D2" s="6" t="inlineStr">
        <is>
          <t>Bengaluru</t>
        </is>
      </c>
      <c r="E2" s="6" t="inlineStr">
        <is>
          <t>Arjun Mehta</t>
        </is>
      </c>
      <c r="F2" s="6" t="inlineStr">
        <is>
          <t>Priya Raman</t>
        </is>
      </c>
      <c r="G2" s="6" t="inlineStr">
        <is>
          <t>Full-time Permanent</t>
        </is>
      </c>
      <c r="H2" s="6" t="inlineStr">
        <is>
          <t>On-site</t>
        </is>
      </c>
      <c r="I2" s="6" t="inlineStr">
        <is>
          <t>Draft</t>
        </is>
      </c>
      <c r="J2" s="6" t="inlineStr">
        <is>
          <t>Meets Expectations or above</t>
        </is>
      </c>
      <c r="K2" s="6" t="inlineStr">
        <is>
          <t>Required before application</t>
        </is>
      </c>
      <c r="L2" s="6" t="inlineStr">
        <is>
          <t>Mandatory</t>
        </is>
      </c>
      <c r="M2" s="6" t="inlineStr">
        <is>
          <t>AP-TECH</t>
        </is>
      </c>
      <c r="N2" s="6" t="inlineStr">
        <is>
          <t>domain</t>
        </is>
      </c>
      <c r="O2" s="6" t="inlineStr">
        <is>
          <t>Yes</t>
        </is>
      </c>
    </row>
    <row r="3">
      <c r="A3" s="6" t="inlineStr">
        <is>
          <t>Data &amp; Analytics</t>
        </is>
      </c>
      <c r="B3" s="6" t="inlineStr">
        <is>
          <t>Data Science &amp; Analytics</t>
        </is>
      </c>
      <c r="C3" s="6" t="inlineStr">
        <is>
          <t>G5</t>
        </is>
      </c>
      <c r="D3" s="6" t="inlineStr">
        <is>
          <t>Hyderabad</t>
        </is>
      </c>
      <c r="E3" s="6" t="inlineStr">
        <is>
          <t>Kavita Iyer</t>
        </is>
      </c>
      <c r="F3" s="6" t="inlineStr">
        <is>
          <t>Neha Joshi</t>
        </is>
      </c>
      <c r="G3" s="6" t="inlineStr">
        <is>
          <t>Fixed-term Contract</t>
        </is>
      </c>
      <c r="H3" s="6" t="inlineStr">
        <is>
          <t>Hybrid</t>
        </is>
      </c>
      <c r="I3" s="6" t="inlineStr">
        <is>
          <t>Pending Approval</t>
        </is>
      </c>
      <c r="J3" s="6" t="inlineStr">
        <is>
          <t>Exceeds Expectations or above</t>
        </is>
      </c>
      <c r="K3" s="6" t="inlineStr">
        <is>
          <t>Required before shortlisting</t>
        </is>
      </c>
      <c r="L3" s="6" t="inlineStr">
        <is>
          <t>Optional</t>
        </is>
      </c>
      <c r="M3" s="6" t="inlineStr">
        <is>
          <t>AP-MGMT</t>
        </is>
      </c>
      <c r="N3" s="6" t="inlineStr">
        <is>
          <t>experience</t>
        </is>
      </c>
      <c r="O3" s="6" t="inlineStr">
        <is>
          <t>No</t>
        </is>
      </c>
    </row>
    <row r="4">
      <c r="A4" s="6" t="inlineStr">
        <is>
          <t>IT Infrastructure</t>
        </is>
      </c>
      <c r="B4" s="6" t="inlineStr">
        <is>
          <t>Infrastructure &amp; Cloud</t>
        </is>
      </c>
      <c r="C4" s="6" t="inlineStr">
        <is>
          <t>G6</t>
        </is>
      </c>
      <c r="D4" s="6" t="inlineStr">
        <is>
          <t>Pune</t>
        </is>
      </c>
      <c r="E4" s="6" t="inlineStr">
        <is>
          <t>Rahul Desai</t>
        </is>
      </c>
      <c r="F4" s="6" t="inlineStr">
        <is>
          <t>Thomas George</t>
        </is>
      </c>
      <c r="G4" s="6" t="inlineStr">
        <is>
          <t>Internal Secondment</t>
        </is>
      </c>
      <c r="H4" s="6" t="inlineStr">
        <is>
          <t>Remote</t>
        </is>
      </c>
      <c r="I4" s="6" t="inlineStr">
        <is>
          <t>Published</t>
        </is>
      </c>
      <c r="J4" s="6" t="inlineStr">
        <is>
          <t>No active performance plan</t>
        </is>
      </c>
      <c r="K4" s="6" t="inlineStr">
        <is>
          <t>Notify only</t>
        </is>
      </c>
      <c r="M4" s="6" t="inlineStr">
        <is>
          <t>AP-GEN</t>
        </is>
      </c>
      <c r="N4" s="6" t="inlineStr">
        <is>
          <t>leadership</t>
        </is>
      </c>
    </row>
    <row r="5">
      <c r="A5" s="6" t="inlineStr">
        <is>
          <t>Finance</t>
        </is>
      </c>
      <c r="B5" s="6" t="inlineStr">
        <is>
          <t>Finance &amp; Accounting</t>
        </is>
      </c>
      <c r="C5" s="6" t="inlineStr">
        <is>
          <t>G7</t>
        </is>
      </c>
      <c r="D5" s="6" t="inlineStr">
        <is>
          <t>Chennai</t>
        </is>
      </c>
      <c r="E5" s="6" t="inlineStr">
        <is>
          <t>Sunita Rao</t>
        </is>
      </c>
      <c r="G5" s="6" t="inlineStr">
        <is>
          <t>Rotational Program</t>
        </is>
      </c>
      <c r="I5" s="6" t="inlineStr">
        <is>
          <t>Closed</t>
        </is>
      </c>
      <c r="J5" s="6" t="inlineStr">
        <is>
          <t>Not applicable</t>
        </is>
      </c>
      <c r="N5" s="6" t="inlineStr">
        <is>
          <t>prefSkills</t>
        </is>
      </c>
    </row>
    <row r="6">
      <c r="A6" s="6" t="inlineStr">
        <is>
          <t>Human Resources</t>
        </is>
      </c>
      <c r="B6" s="6" t="inlineStr">
        <is>
          <t>Human Resources</t>
        </is>
      </c>
      <c r="C6" s="6" t="inlineStr">
        <is>
          <t>G8</t>
        </is>
      </c>
      <c r="D6" s="6" t="inlineStr">
        <is>
          <t>Mumbai</t>
        </is>
      </c>
      <c r="E6" s="6" t="inlineStr">
        <is>
          <t>Priya Raman</t>
        </is>
      </c>
      <c r="I6" s="6" t="inlineStr">
        <is>
          <t>Cancelled</t>
        </is>
      </c>
      <c r="N6" s="6" t="inlineStr">
        <is>
          <t>quals</t>
        </is>
      </c>
    </row>
    <row r="7">
      <c r="A7" s="6" t="inlineStr">
        <is>
          <t>Marketing</t>
        </is>
      </c>
      <c r="B7" s="6" t="inlineStr">
        <is>
          <t>Marketing &amp; Communications</t>
        </is>
      </c>
      <c r="C7" s="6" t="inlineStr">
        <is>
          <t>G9</t>
        </is>
      </c>
      <c r="D7" s="6" t="inlineStr">
        <is>
          <t>Gurugram</t>
        </is>
      </c>
      <c r="E7" s="6" t="inlineStr">
        <is>
          <t>Neha Joshi</t>
        </is>
      </c>
      <c r="N7" s="6" t="inlineStr">
        <is>
          <t>reqSkills</t>
        </is>
      </c>
    </row>
    <row r="8">
      <c r="A8" s="6" t="inlineStr">
        <is>
          <t>Product Management</t>
        </is>
      </c>
      <c r="B8" s="6" t="inlineStr">
        <is>
          <t>Product Management</t>
        </is>
      </c>
      <c r="D8" s="6" t="inlineStr">
        <is>
          <t>London</t>
        </is>
      </c>
      <c r="E8" s="6" t="inlineStr">
        <is>
          <t>Thomas George</t>
        </is>
      </c>
      <c r="N8" s="6" t="inlineStr">
        <is>
          <t>resp</t>
        </is>
      </c>
    </row>
    <row r="9">
      <c r="A9" s="6" t="inlineStr">
        <is>
          <t>Operations</t>
        </is>
      </c>
      <c r="B9" s="6" t="inlineStr">
        <is>
          <t>Operations</t>
        </is>
      </c>
      <c r="N9" s="6" t="inlineStr">
        <is>
          <t>stakeholder</t>
        </is>
      </c>
    </row>
    <row r="10">
      <c r="A10" s="6" t="inlineStr">
        <is>
          <t>Customer Success</t>
        </is>
      </c>
    </row>
    <row r="11">
      <c r="A11" s="6" t="inlineStr">
        <is>
          <t>Legal &amp; Compliance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2026-10-14T20:23:33Z</dcterms:created>
  <dcterms:modified xsi:type="dcterms:W3CDTF">2026-10-14T20:23:33Z</dcterms:modified>
</cp:coreProperties>
</file>